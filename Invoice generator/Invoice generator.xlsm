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7994C056-5F8F-4ECC-AFA5-BFF00FEBC06D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<sst xmlns="http://schemas.openxmlformats.org/spreadsheetml/2006/main" count="76" uniqueCount="70">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</sst>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7" fillId="0" borderId="0" xfId="2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Protection="1">
      <protection locked="0"/>
    </xf>
    <xf numFmtId="164" fontId="5" fillId="0" borderId="13" xfId="0" applyNumberFormat="1" applyFont="1" applyBorder="1" applyProtection="1">
      <protection locked="0"/>
    </xf>
    <xf numFmtId="9" fontId="5" fillId="0" borderId="13" xfId="1" applyFont="1" applyBorder="1" applyProtection="1">
      <protection locked="0"/>
    </xf>
    <xf numFmtId="0" fontId="5" fillId="0" borderId="15" xfId="0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9" fontId="5" fillId="0" borderId="15" xfId="1" applyFont="1" applyBorder="1" applyProtection="1">
      <protection locked="0"/>
    </xf>
    <xf numFmtId="0" fontId="5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0" borderId="23" xfId="0" applyFont="1" applyBorder="1" applyProtection="1">
      <protection locked="0"/>
    </xf>
    <xf numFmtId="0" fontId="0" fillId="0" borderId="8" xfId="0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5" fillId="0" borderId="25" xfId="0" applyFont="1" applyBorder="1" applyProtection="1"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justify" vertical="center" wrapText="1"/>
      <protection locked="0"/>
    </xf>
    <xf numFmtId="0" fontId="10" fillId="0" borderId="4" xfId="0" applyFont="1" applyBorder="1" applyAlignment="1" applyProtection="1">
      <alignment horizontal="justify" vertical="center" wrapText="1"/>
      <protection locked="0"/>
    </xf>
    <xf numFmtId="0" fontId="10" fillId="0" borderId="5" xfId="0" applyFont="1" applyBorder="1" applyAlignment="1" applyProtection="1">
      <alignment horizontal="justify" vertical="center" wrapText="1"/>
      <protection locked="0"/>
    </xf>
    <xf numFmtId="0" fontId="10" fillId="0" borderId="6" xfId="0" applyFont="1" applyBorder="1" applyAlignment="1" applyProtection="1">
      <alignment horizontal="justify" vertical="center" wrapText="1"/>
      <protection locked="0"/>
    </xf>
    <xf numFmtId="0" fontId="10" fillId="0" borderId="0" xfId="0" applyFont="1" applyAlignment="1" applyProtection="1">
      <alignment horizontal="justify" vertical="center" wrapText="1"/>
      <protection locked="0"/>
    </xf>
    <xf numFmtId="0" fontId="10" fillId="0" borderId="7" xfId="0" applyFont="1" applyBorder="1" applyAlignment="1" applyProtection="1">
      <alignment horizontal="justify" vertical="center" wrapText="1"/>
      <protection locked="0"/>
    </xf>
    <xf numFmtId="0" fontId="10" fillId="0" borderId="8" xfId="0" applyFont="1" applyBorder="1" applyAlignment="1" applyProtection="1">
      <alignment horizontal="justify" vertical="center" wrapText="1"/>
      <protection locked="0"/>
    </xf>
    <xf numFmtId="0" fontId="10" fillId="0" borderId="9" xfId="0" applyFont="1" applyBorder="1" applyAlignment="1" applyProtection="1">
      <alignment horizontal="justify" vertical="center" wrapText="1"/>
      <protection locked="0"/>
    </xf>
    <xf numFmtId="0" fontId="10" fillId="0" borderId="10" xfId="0" applyFont="1" applyBorder="1" applyAlignment="1" applyProtection="1">
      <alignment horizontal="justify" vertical="center" wrapText="1"/>
      <protection locked="0"/>
    </xf>
    <xf numFmtId="0" fontId="5" fillId="0" borderId="19" xfId="0" applyFont="1" applyBorder="1" applyProtection="1">
      <protection locked="0"/>
    </xf>
    <xf numFmtId="0" fontId="5" fillId="0" borderId="20" xfId="0" applyFont="1" applyBorder="1" applyProtection="1">
      <protection locked="0"/>
    </xf>
    <xf numFmtId="0" fontId="5" fillId="0" borderId="26" xfId="0" applyFont="1" applyBorder="1" applyProtection="1"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quotePrefix="1" applyFont="1" applyProtection="1">
      <protection locked="0"/>
    </xf>
    <xf numFmtId="0" fontId="7" fillId="0" borderId="9" xfId="2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7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0" fillId="2" borderId="0" xfId="0" applyFill="1" applyProtection="1"/>
    <xf numFmtId="0" fontId="0" fillId="0" borderId="0" xfId="0" applyProtection="1"/>
    <xf numFmtId="164" fontId="0" fillId="0" borderId="0" xfId="0" applyNumberFormat="1" applyProtection="1"/>
    <xf numFmtId="0" fontId="0" fillId="0" borderId="2" xfId="0" applyBorder="1" applyProtection="1"/>
    <xf numFmtId="0" fontId="0" fillId="0" borderId="6" xfId="0" applyBorder="1" applyProtection="1"/>
    <xf numFmtId="49" fontId="0" fillId="0" borderId="6" xfId="0" applyNumberFormat="1" applyBorder="1" applyProtection="1"/>
    <xf numFmtId="49" fontId="8" fillId="0" borderId="8" xfId="0" applyNumberFormat="1" applyFont="1" applyBorder="1" applyProtection="1"/>
    <xf numFmtId="164" fontId="5" fillId="0" borderId="13" xfId="0" applyNumberFormat="1" applyFont="1" applyBorder="1" applyProtection="1"/>
    <xf numFmtId="164" fontId="5" fillId="0" borderId="14" xfId="0" applyNumberFormat="1" applyFont="1" applyBorder="1" applyProtection="1"/>
    <xf numFmtId="164" fontId="5" fillId="0" borderId="15" xfId="0" applyNumberFormat="1" applyFont="1" applyBorder="1" applyProtection="1"/>
    <xf numFmtId="164" fontId="5" fillId="0" borderId="16" xfId="0" applyNumberFormat="1" applyFont="1" applyBorder="1" applyProtection="1"/>
    <xf numFmtId="164" fontId="2" fillId="0" borderId="23" xfId="0" applyNumberFormat="1" applyFont="1" applyBorder="1" applyProtection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0" sqref="F10"/>
    </sheetView>
  </sheetViews>
  <sheetFormatPr defaultRowHeight="14.45" customHeight="1" x14ac:dyDescent="0.25"/>
  <cols>
    <col min="1" max="1" width="3.7109375" style="2" customWidth="1"/>
    <col min="2" max="2" width="14.7109375" style="2" bestFit="1" customWidth="1"/>
    <col min="3" max="3" width="8.7109375" style="2" customWidth="1"/>
    <col min="4" max="4" width="9.140625" style="2"/>
    <col min="5" max="5" width="4.7109375" style="2" customWidth="1"/>
    <col min="6" max="6" width="10.140625" style="2" customWidth="1"/>
    <col min="7" max="8" width="10.28515625" style="2" customWidth="1"/>
    <col min="9" max="9" width="15.7109375" style="2" customWidth="1"/>
    <col min="10" max="16384" width="9.140625" style="2"/>
  </cols>
  <sheetData>
    <row r="1" spans="1:13" ht="33" customHeight="1" thickBot="1" x14ac:dyDescent="0.6">
      <c r="A1" s="56" t="s">
        <v>0</v>
      </c>
      <c r="B1" s="56"/>
      <c r="C1" s="56"/>
      <c r="D1" s="56"/>
      <c r="E1" s="56"/>
      <c r="F1" s="56"/>
      <c r="G1" s="3"/>
      <c r="H1" s="50" t="s">
        <v>1</v>
      </c>
      <c r="I1" s="50"/>
      <c r="J1" s="4"/>
      <c r="K1" s="5"/>
      <c r="L1" s="5"/>
      <c r="M1" s="5"/>
    </row>
    <row r="3" spans="1:13" ht="14.45" customHeight="1" x14ac:dyDescent="0.25">
      <c r="B3" s="6" t="s">
        <v>2</v>
      </c>
      <c r="C3" s="60">
        <v>1001</v>
      </c>
      <c r="D3" s="60"/>
    </row>
    <row r="4" spans="1:13" ht="14.45" customHeight="1" x14ac:dyDescent="0.25">
      <c r="B4" s="6" t="s">
        <v>14</v>
      </c>
      <c r="C4" s="54"/>
      <c r="D4" s="54"/>
    </row>
    <row r="5" spans="1:13" ht="14.45" customHeight="1" x14ac:dyDescent="0.25">
      <c r="B5" s="6" t="s">
        <v>15</v>
      </c>
      <c r="C5" s="55">
        <v>45946</v>
      </c>
      <c r="D5" s="54"/>
    </row>
    <row r="6" spans="1:13" ht="14.45" customHeight="1" x14ac:dyDescent="0.25">
      <c r="B6" s="6" t="s">
        <v>60</v>
      </c>
      <c r="C6" s="54">
        <v>14</v>
      </c>
      <c r="D6" s="54"/>
    </row>
    <row r="8" spans="1:13" ht="14.45" customHeight="1" x14ac:dyDescent="0.25">
      <c r="B8" s="2" t="s">
        <v>3</v>
      </c>
    </row>
    <row r="9" spans="1:13" ht="14.45" customHeight="1" x14ac:dyDescent="0.25">
      <c r="B9" s="7"/>
      <c r="C9" s="8"/>
      <c r="D9" s="9"/>
    </row>
    <row r="10" spans="1:13" ht="14.45" customHeight="1" x14ac:dyDescent="0.25">
      <c r="B10" s="61" t="str">
        <f>IF(B9&lt;&gt;"",VLOOKUP($B$9,Customer_list[],2,0),"")</f>
        <v/>
      </c>
      <c r="D10" s="11"/>
    </row>
    <row r="11" spans="1:13" ht="14.45" customHeight="1" x14ac:dyDescent="0.25">
      <c r="B11" s="61" t="str">
        <f>IF(B9&lt;&gt;"",VLOOKUP($B$9,Customer_list[],3,0),"")</f>
        <v/>
      </c>
      <c r="D11" s="11"/>
    </row>
    <row r="12" spans="1:13" ht="14.45" customHeight="1" x14ac:dyDescent="0.25">
      <c r="B12" s="61" t="str">
        <f>IF(B9&lt;&gt;"",VLOOKUP($B$9,Customer_list[],4,0),"")</f>
        <v/>
      </c>
      <c r="D12" s="11"/>
    </row>
    <row r="13" spans="1:13" ht="14.45" customHeight="1" x14ac:dyDescent="0.25">
      <c r="B13" s="61" t="str">
        <f>IF(B9&lt;&gt;"",VLOOKUP($B$9,Customer_list[],5,0),"")</f>
        <v/>
      </c>
      <c r="D13" s="11"/>
    </row>
    <row r="14" spans="1:13" ht="14.45" customHeight="1" x14ac:dyDescent="0.25">
      <c r="B14" s="62" t="str">
        <f>IF(B9&lt;&gt;"",VLOOKUP($B$9,Customer_list[],6,0),"")</f>
        <v/>
      </c>
      <c r="D14" s="11"/>
    </row>
    <row r="15" spans="1:13" ht="14.45" customHeight="1" x14ac:dyDescent="0.25">
      <c r="B15" s="63" t="str">
        <f>IF(B9&lt;&gt;"",VLOOKUP($B$9,Customer_list[],7,0),"")</f>
        <v/>
      </c>
      <c r="C15" s="12"/>
      <c r="D15" s="13"/>
    </row>
    <row r="17" spans="2:9" ht="14.45" customHeight="1" x14ac:dyDescent="0.25">
      <c r="B17" s="51" t="s">
        <v>4</v>
      </c>
      <c r="C17" s="52"/>
      <c r="D17" s="53"/>
      <c r="E17" s="14" t="s">
        <v>9</v>
      </c>
      <c r="F17" s="14" t="s">
        <v>5</v>
      </c>
      <c r="G17" s="14" t="s">
        <v>52</v>
      </c>
      <c r="H17" s="14" t="s">
        <v>6</v>
      </c>
      <c r="I17" s="15" t="s">
        <v>8</v>
      </c>
    </row>
    <row r="18" spans="2:9" ht="14.45" customHeight="1" x14ac:dyDescent="0.25">
      <c r="B18" s="26"/>
      <c r="C18" s="27"/>
      <c r="D18" s="28"/>
      <c r="E18" s="16"/>
      <c r="F18" s="17"/>
      <c r="G18" s="18"/>
      <c r="H18" s="64" t="str">
        <f>IF(E18&lt;&gt;"",E18*F18*G18,"")</f>
        <v/>
      </c>
      <c r="I18" s="65" t="str">
        <f>IF(E18&lt;&gt;"",E18*F18,"")</f>
        <v/>
      </c>
    </row>
    <row r="19" spans="2:9" ht="14.45" customHeight="1" x14ac:dyDescent="0.25">
      <c r="B19" s="26"/>
      <c r="C19" s="27"/>
      <c r="D19" s="28"/>
      <c r="E19" s="16"/>
      <c r="F19" s="17"/>
      <c r="G19" s="18"/>
      <c r="H19" s="64" t="str">
        <f t="shared" ref="H19:H34" si="0">IF(E19&lt;&gt;"",E19*F19*G19,"")</f>
        <v/>
      </c>
      <c r="I19" s="65" t="str">
        <f t="shared" ref="I19:I34" si="1">IF(E19&lt;&gt;"",E19*F19,"")</f>
        <v/>
      </c>
    </row>
    <row r="20" spans="2:9" ht="14.45" customHeight="1" x14ac:dyDescent="0.25">
      <c r="B20" s="26"/>
      <c r="C20" s="27"/>
      <c r="D20" s="28"/>
      <c r="E20" s="16"/>
      <c r="F20" s="17"/>
      <c r="G20" s="18"/>
      <c r="H20" s="64" t="str">
        <f t="shared" si="0"/>
        <v/>
      </c>
      <c r="I20" s="65" t="str">
        <f t="shared" si="1"/>
        <v/>
      </c>
    </row>
    <row r="21" spans="2:9" ht="14.45" customHeight="1" x14ac:dyDescent="0.25">
      <c r="B21" s="26"/>
      <c r="C21" s="27"/>
      <c r="D21" s="28"/>
      <c r="E21" s="16"/>
      <c r="F21" s="17"/>
      <c r="G21" s="18"/>
      <c r="H21" s="64" t="str">
        <f t="shared" si="0"/>
        <v/>
      </c>
      <c r="I21" s="65" t="str">
        <f t="shared" si="1"/>
        <v/>
      </c>
    </row>
    <row r="22" spans="2:9" ht="14.45" customHeight="1" x14ac:dyDescent="0.25">
      <c r="B22" s="26"/>
      <c r="C22" s="27"/>
      <c r="D22" s="28"/>
      <c r="E22" s="16"/>
      <c r="F22" s="17"/>
      <c r="G22" s="18"/>
      <c r="H22" s="64" t="str">
        <f t="shared" si="0"/>
        <v/>
      </c>
      <c r="I22" s="65" t="str">
        <f t="shared" si="1"/>
        <v/>
      </c>
    </row>
    <row r="23" spans="2:9" ht="14.45" customHeight="1" x14ac:dyDescent="0.25">
      <c r="B23" s="26"/>
      <c r="C23" s="27"/>
      <c r="D23" s="28"/>
      <c r="E23" s="16"/>
      <c r="F23" s="17"/>
      <c r="G23" s="18"/>
      <c r="H23" s="64" t="str">
        <f t="shared" si="0"/>
        <v/>
      </c>
      <c r="I23" s="65" t="str">
        <f t="shared" si="1"/>
        <v/>
      </c>
    </row>
    <row r="24" spans="2:9" ht="14.45" customHeight="1" x14ac:dyDescent="0.25">
      <c r="B24" s="26"/>
      <c r="C24" s="27"/>
      <c r="D24" s="28"/>
      <c r="E24" s="16"/>
      <c r="F24" s="17"/>
      <c r="G24" s="18"/>
      <c r="H24" s="64" t="str">
        <f t="shared" si="0"/>
        <v/>
      </c>
      <c r="I24" s="65" t="str">
        <f t="shared" si="1"/>
        <v/>
      </c>
    </row>
    <row r="25" spans="2:9" ht="14.45" customHeight="1" x14ac:dyDescent="0.25">
      <c r="B25" s="26"/>
      <c r="C25" s="27"/>
      <c r="D25" s="28"/>
      <c r="E25" s="16"/>
      <c r="F25" s="17"/>
      <c r="G25" s="18"/>
      <c r="H25" s="64" t="str">
        <f t="shared" si="0"/>
        <v/>
      </c>
      <c r="I25" s="65" t="str">
        <f t="shared" si="1"/>
        <v/>
      </c>
    </row>
    <row r="26" spans="2:9" ht="14.45" customHeight="1" x14ac:dyDescent="0.25">
      <c r="B26" s="26"/>
      <c r="C26" s="27"/>
      <c r="D26" s="28"/>
      <c r="E26" s="16"/>
      <c r="F26" s="17"/>
      <c r="G26" s="18"/>
      <c r="H26" s="64" t="str">
        <f t="shared" si="0"/>
        <v/>
      </c>
      <c r="I26" s="65" t="str">
        <f t="shared" si="1"/>
        <v/>
      </c>
    </row>
    <row r="27" spans="2:9" ht="14.45" customHeight="1" x14ac:dyDescent="0.25">
      <c r="B27" s="26"/>
      <c r="C27" s="27"/>
      <c r="D27" s="28"/>
      <c r="E27" s="16"/>
      <c r="F27" s="17"/>
      <c r="G27" s="18"/>
      <c r="H27" s="64" t="str">
        <f t="shared" si="0"/>
        <v/>
      </c>
      <c r="I27" s="65" t="str">
        <f t="shared" si="1"/>
        <v/>
      </c>
    </row>
    <row r="28" spans="2:9" ht="14.45" customHeight="1" x14ac:dyDescent="0.25">
      <c r="B28" s="26"/>
      <c r="C28" s="27"/>
      <c r="D28" s="28"/>
      <c r="E28" s="16"/>
      <c r="F28" s="17"/>
      <c r="G28" s="18"/>
      <c r="H28" s="64" t="str">
        <f t="shared" si="0"/>
        <v/>
      </c>
      <c r="I28" s="65" t="str">
        <f t="shared" si="1"/>
        <v/>
      </c>
    </row>
    <row r="29" spans="2:9" ht="14.45" customHeight="1" x14ac:dyDescent="0.25">
      <c r="B29" s="26"/>
      <c r="C29" s="27"/>
      <c r="D29" s="28"/>
      <c r="E29" s="16"/>
      <c r="F29" s="17"/>
      <c r="G29" s="18"/>
      <c r="H29" s="64" t="str">
        <f t="shared" si="0"/>
        <v/>
      </c>
      <c r="I29" s="65" t="str">
        <f t="shared" si="1"/>
        <v/>
      </c>
    </row>
    <row r="30" spans="2:9" ht="14.45" customHeight="1" x14ac:dyDescent="0.25">
      <c r="B30" s="26"/>
      <c r="C30" s="27"/>
      <c r="D30" s="28"/>
      <c r="E30" s="16"/>
      <c r="F30" s="17"/>
      <c r="G30" s="18"/>
      <c r="H30" s="64" t="str">
        <f t="shared" si="0"/>
        <v/>
      </c>
      <c r="I30" s="65" t="str">
        <f t="shared" si="1"/>
        <v/>
      </c>
    </row>
    <row r="31" spans="2:9" ht="14.45" customHeight="1" x14ac:dyDescent="0.25">
      <c r="B31" s="26"/>
      <c r="C31" s="27"/>
      <c r="D31" s="28"/>
      <c r="E31" s="16"/>
      <c r="F31" s="17"/>
      <c r="G31" s="18"/>
      <c r="H31" s="64" t="str">
        <f t="shared" si="0"/>
        <v/>
      </c>
      <c r="I31" s="65" t="str">
        <f t="shared" si="1"/>
        <v/>
      </c>
    </row>
    <row r="32" spans="2:9" ht="14.45" customHeight="1" x14ac:dyDescent="0.25">
      <c r="B32" s="26"/>
      <c r="C32" s="27"/>
      <c r="D32" s="28"/>
      <c r="E32" s="16"/>
      <c r="F32" s="17"/>
      <c r="G32" s="18"/>
      <c r="H32" s="64" t="str">
        <f t="shared" si="0"/>
        <v/>
      </c>
      <c r="I32" s="65" t="str">
        <f t="shared" si="1"/>
        <v/>
      </c>
    </row>
    <row r="33" spans="2:9" ht="14.45" customHeight="1" x14ac:dyDescent="0.25">
      <c r="B33" s="26"/>
      <c r="C33" s="27"/>
      <c r="D33" s="28"/>
      <c r="E33" s="16"/>
      <c r="F33" s="17"/>
      <c r="G33" s="18"/>
      <c r="H33" s="64" t="str">
        <f t="shared" si="0"/>
        <v/>
      </c>
      <c r="I33" s="65" t="str">
        <f t="shared" si="1"/>
        <v/>
      </c>
    </row>
    <row r="34" spans="2:9" ht="14.45" customHeight="1" x14ac:dyDescent="0.25">
      <c r="B34" s="40"/>
      <c r="C34" s="41"/>
      <c r="D34" s="42"/>
      <c r="E34" s="19"/>
      <c r="F34" s="20"/>
      <c r="G34" s="21"/>
      <c r="H34" s="66" t="str">
        <f t="shared" si="0"/>
        <v/>
      </c>
      <c r="I34" s="67" t="str">
        <f t="shared" si="1"/>
        <v/>
      </c>
    </row>
    <row r="36" spans="2:9" ht="14.45" customHeight="1" x14ac:dyDescent="0.25">
      <c r="B36" s="22" t="s">
        <v>13</v>
      </c>
      <c r="C36" s="22"/>
      <c r="D36" s="22"/>
      <c r="E36" s="22"/>
    </row>
    <row r="37" spans="2:9" ht="14.45" customHeight="1" x14ac:dyDescent="0.25">
      <c r="B37" s="31" t="s">
        <v>68</v>
      </c>
      <c r="C37" s="32"/>
      <c r="D37" s="32"/>
      <c r="E37" s="33"/>
      <c r="G37" s="23"/>
      <c r="H37" s="23"/>
      <c r="I37" s="23"/>
    </row>
    <row r="38" spans="2:9" ht="14.45" customHeight="1" x14ac:dyDescent="0.25">
      <c r="B38" s="34"/>
      <c r="C38" s="35"/>
      <c r="D38" s="35"/>
      <c r="E38" s="36"/>
      <c r="G38" s="2" t="s">
        <v>11</v>
      </c>
      <c r="I38" s="59">
        <f>SUM(I18:I34)</f>
        <v>0</v>
      </c>
    </row>
    <row r="39" spans="2:9" ht="14.45" customHeight="1" x14ac:dyDescent="0.25">
      <c r="B39" s="34"/>
      <c r="C39" s="35"/>
      <c r="D39" s="35"/>
      <c r="E39" s="36"/>
      <c r="G39" s="2" t="s">
        <v>6</v>
      </c>
      <c r="I39" s="59">
        <f>SUM(H18:H34)</f>
        <v>0</v>
      </c>
    </row>
    <row r="40" spans="2:9" ht="14.45" customHeight="1" thickBot="1" x14ac:dyDescent="0.3">
      <c r="B40" s="37"/>
      <c r="C40" s="38"/>
      <c r="D40" s="38"/>
      <c r="E40" s="39"/>
      <c r="G40" s="24" t="s">
        <v>7</v>
      </c>
      <c r="H40" s="24"/>
      <c r="I40" s="68">
        <f>SUM(I38:I39)</f>
        <v>0</v>
      </c>
    </row>
    <row r="41" spans="2:9" ht="14.45" customHeight="1" thickTop="1" x14ac:dyDescent="0.25"/>
    <row r="42" spans="2:9" ht="14.45" customHeight="1" x14ac:dyDescent="0.25">
      <c r="B42" s="29" t="s">
        <v>12</v>
      </c>
      <c r="C42" s="30"/>
      <c r="D42" s="30"/>
      <c r="E42" s="30"/>
      <c r="F42" s="30"/>
      <c r="G42" s="30" t="s">
        <v>10</v>
      </c>
      <c r="H42" s="30"/>
      <c r="I42" s="43"/>
    </row>
    <row r="43" spans="2:9" ht="14.45" customHeight="1" x14ac:dyDescent="0.25">
      <c r="B43" s="10" t="s">
        <v>16</v>
      </c>
      <c r="C43" s="44" t="s">
        <v>67</v>
      </c>
      <c r="D43" s="44"/>
      <c r="E43" s="44"/>
      <c r="F43" s="44"/>
      <c r="G43" s="2" t="s">
        <v>20</v>
      </c>
      <c r="H43" s="44">
        <v>596305918</v>
      </c>
      <c r="I43" s="48"/>
    </row>
    <row r="44" spans="2:9" ht="14.45" customHeight="1" x14ac:dyDescent="0.25">
      <c r="B44" s="10" t="s">
        <v>17</v>
      </c>
      <c r="C44" s="44" t="s">
        <v>66</v>
      </c>
      <c r="D44" s="44"/>
      <c r="E44" s="44"/>
      <c r="F44" s="44"/>
      <c r="G44" s="2" t="s">
        <v>21</v>
      </c>
      <c r="H44" s="44" t="s">
        <v>62</v>
      </c>
      <c r="I44" s="48"/>
    </row>
    <row r="45" spans="2:9" ht="14.45" customHeight="1" x14ac:dyDescent="0.25">
      <c r="B45" s="10" t="s">
        <v>18</v>
      </c>
      <c r="C45" s="45" t="s">
        <v>65</v>
      </c>
      <c r="D45" s="44"/>
      <c r="E45" s="44"/>
      <c r="F45" s="44"/>
      <c r="G45" s="2" t="s">
        <v>22</v>
      </c>
      <c r="H45" s="44" t="s">
        <v>63</v>
      </c>
      <c r="I45" s="48"/>
    </row>
    <row r="46" spans="2:9" ht="14.45" customHeight="1" x14ac:dyDescent="0.25">
      <c r="B46" s="25" t="s">
        <v>19</v>
      </c>
      <c r="C46" s="46" t="s">
        <v>61</v>
      </c>
      <c r="D46" s="47"/>
      <c r="E46" s="47"/>
      <c r="F46" s="47"/>
      <c r="G46" s="12" t="s">
        <v>23</v>
      </c>
      <c r="H46" s="47" t="s">
        <v>64</v>
      </c>
      <c r="I46" s="49"/>
    </row>
  </sheetData>
  <sheetProtection algorithmName="SHA-512" hashValue="FwAKg/0Kz/6pxQ7LRtSyYUuW937DvVjA7BaxijJ4FrhDsEMwCnpXQwFEMO35sSOEpJhifzfANbhdZwZ4fUEafw==" saltValue="uP5L4jieZwVivyySXfQiTg==" spinCount="100000" sheet="1" objects="1" scenarios="1"/>
  <mergeCells count="35"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E9" sqref="E9"/>
    </sheetView>
  </sheetViews>
  <sheetFormatPr defaultRowHeight="15" x14ac:dyDescent="0.25"/>
  <cols>
    <col min="1" max="1" width="15" style="58" bestFit="1" customWidth="1"/>
    <col min="2" max="2" width="9.28515625" style="58" bestFit="1" customWidth="1"/>
    <col min="3" max="3" width="9.5703125" style="59" bestFit="1" customWidth="1"/>
    <col min="4" max="4" width="10.140625" style="58" bestFit="1" customWidth="1"/>
    <col min="5" max="5" width="10.42578125" style="58" bestFit="1" customWidth="1"/>
    <col min="6" max="6" width="5" style="58" bestFit="1" customWidth="1"/>
    <col min="7" max="7" width="19.5703125" style="58" bestFit="1" customWidth="1"/>
    <col min="8" max="8" width="15" style="58" bestFit="1" customWidth="1"/>
    <col min="9" max="9" width="16.42578125" style="58" bestFit="1" customWidth="1"/>
    <col min="10" max="16384" width="9.140625" style="2"/>
  </cols>
  <sheetData>
    <row r="1" spans="1:9" x14ac:dyDescent="0.25">
      <c r="A1" s="57" t="s">
        <v>2</v>
      </c>
      <c r="B1" s="57" t="s">
        <v>53</v>
      </c>
      <c r="C1" s="57" t="s">
        <v>54</v>
      </c>
      <c r="D1" s="57" t="s">
        <v>55</v>
      </c>
      <c r="E1" s="57" t="s">
        <v>56</v>
      </c>
      <c r="F1" s="57" t="s">
        <v>57</v>
      </c>
      <c r="G1" s="57" t="s">
        <v>58</v>
      </c>
      <c r="H1" s="57" t="s">
        <v>59</v>
      </c>
      <c r="I1" s="57" t="s">
        <v>69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2025-10-16T18:22:12Z</cp:lastPrinted>
  <dcterms:created xsi:type="dcterms:W3CDTF">2025-10-10T07:57:22Z</dcterms:created>
  <dcterms:modified xsi:type="dcterms:W3CDTF">2025-10-16T18:24:52Z</dcterms:modified>
</cp:coreProperties>
</file>