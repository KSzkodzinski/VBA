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zkodzin\Documents\GitHub\VBA\Invoice generator\"/>
    </mc:Choice>
  </mc:AlternateContent>
  <xr:revisionPtr revIDLastSave="0" documentId="13_ncr:1_{97C6F5C0-F769-45E7-97A6-65569ACC2824}" xr6:coauthVersionLast="47" xr6:coauthVersionMax="47" xr10:uidLastSave="{00000000-0000-0000-0000-000000000000}"/>
  <bookViews>
    <workbookView xWindow="-120" yWindow="-120" windowWidth="29040" windowHeight="15840" xr2:uid="{D067BE1E-E5AC-417B-89CC-B0BAA3B0C673}"/>
  </bookViews>
  <sheets>
    <sheet name="Invoice template" sheetId="1" r:id="rId1"/>
    <sheet name="Customers" sheetId="2" r:id="rId2"/>
    <sheet name="Record of Invoices" sheetId="3" r:id="rId3"/>
  </sheets>
  <functionGroups builtInGroupCount="19"/>
  <definedNames>
    <definedName name="Customer_dropdown">Customer_list[Customer name]</definedName>
    <definedName name="_xlnm.Print_Area" localSheetId="0">'Invoice template'!$A$1:$I$47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/>
  <c r="B15" i="1"/>
  <c r="B14" i="1"/>
  <c r="B13" i="1"/>
  <c r="B12" i="1"/>
  <c r="B11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18" i="1"/>
  <c r="I39" i="1" l="1"/>
  <c r="I38" i="1"/>
  <c r="I40" i="1" l="1"/>
</calcChain>
</file>

<file path=xl/sharedStrings.xml><?xml version="1.0" encoding="utf-8"?>
<sst xmlns="http://schemas.openxmlformats.org/spreadsheetml/2006/main" count="76" uniqueCount="70">
  <si>
    <t>Pink Cheetah</t>
  </si>
  <si>
    <t>Invoice</t>
  </si>
  <si>
    <t>Invoice Number</t>
  </si>
  <si>
    <t>Invoice to:</t>
  </si>
  <si>
    <t>Describtion</t>
  </si>
  <si>
    <t>Price</t>
  </si>
  <si>
    <t>VAT</t>
  </si>
  <si>
    <t>Total</t>
  </si>
  <si>
    <t>Total (exc VAT)</t>
  </si>
  <si>
    <t>Qty</t>
  </si>
  <si>
    <t>Payment Details</t>
  </si>
  <si>
    <t>Subtotal</t>
  </si>
  <si>
    <t>Company Details</t>
  </si>
  <si>
    <t>Customer Message</t>
  </si>
  <si>
    <t>PO Number</t>
  </si>
  <si>
    <t>Invoice Date</t>
  </si>
  <si>
    <t>Company No</t>
  </si>
  <si>
    <t>VAT No.</t>
  </si>
  <si>
    <t>Tel No.</t>
  </si>
  <si>
    <t>Email</t>
  </si>
  <si>
    <t>Acct No.</t>
  </si>
  <si>
    <t>Bank</t>
  </si>
  <si>
    <t>Sort Code</t>
  </si>
  <si>
    <t>IBAN</t>
  </si>
  <si>
    <t>Address 1</t>
  </si>
  <si>
    <t>Address 2</t>
  </si>
  <si>
    <t>Address 3</t>
  </si>
  <si>
    <t>Address 4</t>
  </si>
  <si>
    <t>Address 5</t>
  </si>
  <si>
    <t>Customer name</t>
  </si>
  <si>
    <t>ABC GmbH</t>
  </si>
  <si>
    <t>Waidmannsluster Damm 66</t>
  </si>
  <si>
    <t>Nordgraben</t>
  </si>
  <si>
    <t>Berlin</t>
  </si>
  <si>
    <t>Hohenzollerndamm 94</t>
  </si>
  <si>
    <t>Hohenzollerndamm S-Bahn Station</t>
  </si>
  <si>
    <t>Place de la Bourse 55</t>
  </si>
  <si>
    <t>Miroir d'eau</t>
  </si>
  <si>
    <t>Nouvelle-Aquitaine</t>
  </si>
  <si>
    <t>Bordeaux</t>
  </si>
  <si>
    <t>Spui 80</t>
  </si>
  <si>
    <t>Mauritshuis</t>
  </si>
  <si>
    <t>South Holland</t>
  </si>
  <si>
    <t>The Hague</t>
  </si>
  <si>
    <t>2511 BL</t>
  </si>
  <si>
    <t>Rommold GmbH</t>
  </si>
  <si>
    <t>FabyTech GmbH</t>
  </si>
  <si>
    <t>MoreMfg SA</t>
  </si>
  <si>
    <t>ABC@example.com</t>
  </si>
  <si>
    <t>Rommold@example.com</t>
  </si>
  <si>
    <t>FabyTech@example.com</t>
  </si>
  <si>
    <t>MoreMfg@example.com</t>
  </si>
  <si>
    <t>VAT rate</t>
  </si>
  <si>
    <t>Company</t>
  </si>
  <si>
    <t>Amount</t>
  </si>
  <si>
    <t>Issue Date</t>
  </si>
  <si>
    <t>Due Date</t>
  </si>
  <si>
    <t>Paid</t>
  </si>
  <si>
    <t>Invoice saved as PDF</t>
  </si>
  <si>
    <t>Invoice Emailed</t>
  </si>
  <si>
    <t>Terms (days)</t>
  </si>
  <si>
    <t>info@pinkcheetah.com</t>
  </si>
  <si>
    <t>Deutsche Bank</t>
  </si>
  <si>
    <t>51-109</t>
  </si>
  <si>
    <t>DE91507068557571</t>
  </si>
  <si>
    <t>+49867875123</t>
  </si>
  <si>
    <t>DE54852155485</t>
  </si>
  <si>
    <t>Pink Cheetah GmbH</t>
  </si>
  <si>
    <t>Please ensure this invoice is paid in full by the due date. Payments received after this date will incur a late interest charge of 3% per year until the balance is settled.</t>
  </si>
  <si>
    <t>Invoice cancelled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</si>
</sst>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€-2]\ * #,##0.00_-;\-[$€-2]\ * #,##0.00_-;_-[$€-2]\ * &quot;-&quot;??_-;_-@_-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theme="1"/>
      <name val="Amasis MT Pro Black"/>
      <family val="1"/>
    </font>
    <font>
      <b/>
      <sz val="26"/>
      <color theme="1"/>
      <name val="Amasis MT Pro Black"/>
      <family val="1"/>
    </font>
    <font>
      <sz val="11"/>
      <color theme="1"/>
      <name val="Amasis MT Pro"/>
      <family val="1"/>
    </font>
    <font>
      <b/>
      <sz val="11"/>
      <color theme="1"/>
      <name val="Amasis MT Pro"/>
      <family val="1"/>
    </font>
    <font>
      <u/>
      <sz val="11"/>
      <color theme="10"/>
      <name val="Aptos Narrow"/>
      <family val="2"/>
      <scheme val="minor"/>
    </font>
    <font>
      <u/>
      <sz val="11"/>
      <color theme="7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darkGray">
        <bgColor theme="2" tint="-9.9948118533890809E-2"/>
      </patternFill>
    </fill>
  </fills>
  <borders count="27">
    <border>
      <left/>
      <right/>
      <top/>
      <bottom/>
      <diagonal/>
    </border>
    <border>
      <left/>
      <right/>
      <top/>
      <bottom style="medium">
        <color theme="2" tint="-0.7499618518631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69">
    <xf numFmtId="0" fontId="0" fillId="0" borderId="0" xfId="0"/>
    <xf numFmtId="0" fontId="7" fillId="0" borderId="0" xfId="2"/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0" fontId="4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0" fillId="2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0" xfId="0" applyBorder="1" applyProtection="1">
      <protection locked="0"/>
    </xf>
    <xf numFmtId="0" fontId="5" fillId="2" borderId="11" xfId="0" applyFont="1" applyFill="1" applyBorder="1" applyAlignment="1" applyProtection="1">
      <alignment horizontal="center" vertical="center"/>
      <protection locked="0"/>
    </xf>
    <xf numFmtId="0" fontId="5" fillId="2" borderId="12" xfId="0" applyFont="1" applyFill="1" applyBorder="1" applyAlignment="1" applyProtection="1">
      <alignment horizontal="center" vertical="center"/>
      <protection locked="0"/>
    </xf>
    <xf numFmtId="0" fontId="5" fillId="0" borderId="13" xfId="0" applyFont="1" applyBorder="1" applyProtection="1">
      <protection locked="0"/>
    </xf>
    <xf numFmtId="164" fontId="5" fillId="0" borderId="13" xfId="0" applyNumberFormat="1" applyFont="1" applyBorder="1" applyProtection="1">
      <protection locked="0"/>
    </xf>
    <xf numFmtId="9" fontId="5" fillId="0" borderId="13" xfId="1" applyFont="1" applyBorder="1" applyProtection="1">
      <protection locked="0"/>
    </xf>
    <xf numFmtId="0" fontId="5" fillId="0" borderId="15" xfId="0" applyFont="1" applyBorder="1" applyProtection="1">
      <protection locked="0"/>
    </xf>
    <xf numFmtId="164" fontId="5" fillId="0" borderId="15" xfId="0" applyNumberFormat="1" applyFont="1" applyBorder="1" applyProtection="1">
      <protection locked="0"/>
    </xf>
    <xf numFmtId="9" fontId="5" fillId="0" borderId="15" xfId="1" applyFont="1" applyBorder="1" applyProtection="1">
      <protection locked="0"/>
    </xf>
    <xf numFmtId="0" fontId="5" fillId="0" borderId="0" xfId="0" applyFont="1" applyProtection="1">
      <protection locked="0"/>
    </xf>
    <xf numFmtId="0" fontId="0" fillId="3" borderId="0" xfId="0" applyFill="1" applyProtection="1">
      <protection locked="0"/>
    </xf>
    <xf numFmtId="0" fontId="2" fillId="0" borderId="23" xfId="0" applyFont="1" applyBorder="1" applyProtection="1">
      <protection locked="0"/>
    </xf>
    <xf numFmtId="0" fontId="0" fillId="0" borderId="8" xfId="0" applyBorder="1" applyProtection="1">
      <protection locked="0"/>
    </xf>
    <xf numFmtId="0" fontId="0" fillId="2" borderId="0" xfId="0" applyFill="1"/>
    <xf numFmtId="164" fontId="0" fillId="0" borderId="0" xfId="0" applyNumberFormat="1"/>
    <xf numFmtId="0" fontId="5" fillId="0" borderId="17" xfId="0" applyFont="1" applyBorder="1" applyProtection="1">
      <protection locked="0"/>
    </xf>
    <xf numFmtId="0" fontId="5" fillId="0" borderId="18" xfId="0" applyFont="1" applyBorder="1" applyProtection="1">
      <protection locked="0"/>
    </xf>
    <xf numFmtId="0" fontId="5" fillId="0" borderId="25" xfId="0" applyFont="1" applyBorder="1" applyProtection="1"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5" fillId="2" borderId="21" xfId="0" applyFont="1" applyFill="1" applyBorder="1" applyAlignment="1" applyProtection="1">
      <alignment horizontal="center" vertical="center"/>
      <protection locked="0"/>
    </xf>
    <xf numFmtId="0" fontId="5" fillId="2" borderId="22" xfId="0" applyFont="1" applyFill="1" applyBorder="1" applyAlignment="1" applyProtection="1">
      <alignment horizontal="center" vertical="center"/>
      <protection locked="0"/>
    </xf>
    <xf numFmtId="0" fontId="5" fillId="2" borderId="24" xfId="0" applyFont="1" applyFill="1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14" fontId="0" fillId="0" borderId="2" xfId="0" applyNumberFormat="1" applyBorder="1" applyProtection="1"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6" fillId="2" borderId="4" xfId="0" applyFont="1" applyFill="1" applyBorder="1" applyAlignment="1" applyProtection="1">
      <alignment horizontal="center"/>
      <protection locked="0"/>
    </xf>
    <xf numFmtId="0" fontId="6" fillId="2" borderId="5" xfId="0" applyFont="1" applyFill="1" applyBorder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0" fontId="5" fillId="0" borderId="0" xfId="0" quotePrefix="1" applyFont="1" applyProtection="1">
      <protection locked="0"/>
    </xf>
    <xf numFmtId="0" fontId="7" fillId="0" borderId="9" xfId="2" applyBorder="1" applyProtection="1">
      <protection locked="0"/>
    </xf>
    <xf numFmtId="0" fontId="5" fillId="0" borderId="9" xfId="0" applyFont="1" applyBorder="1" applyProtection="1">
      <protection locked="0"/>
    </xf>
    <xf numFmtId="0" fontId="5" fillId="0" borderId="7" xfId="0" applyFont="1" applyBorder="1" applyProtection="1">
      <protection locked="0"/>
    </xf>
    <xf numFmtId="0" fontId="5" fillId="0" borderId="10" xfId="0" applyFont="1" applyBorder="1" applyProtection="1">
      <protection locked="0"/>
    </xf>
    <xf numFmtId="0" fontId="6" fillId="2" borderId="3" xfId="0" applyFont="1" applyFill="1" applyBorder="1" applyAlignment="1" applyProtection="1">
      <alignment horizontal="center"/>
      <protection locked="0"/>
    </xf>
    <xf numFmtId="0" fontId="10" fillId="0" borderId="3" xfId="0" applyFont="1" applyBorder="1" applyAlignment="1" applyProtection="1">
      <alignment horizontal="justify" vertical="center" wrapText="1"/>
      <protection locked="0"/>
    </xf>
    <xf numFmtId="0" fontId="10" fillId="0" borderId="4" xfId="0" applyFont="1" applyBorder="1" applyAlignment="1" applyProtection="1">
      <alignment horizontal="justify" vertical="center" wrapText="1"/>
      <protection locked="0"/>
    </xf>
    <xf numFmtId="0" fontId="10" fillId="0" borderId="5" xfId="0" applyFont="1" applyBorder="1" applyAlignment="1" applyProtection="1">
      <alignment horizontal="justify" vertical="center" wrapText="1"/>
      <protection locked="0"/>
    </xf>
    <xf numFmtId="0" fontId="10" fillId="0" borderId="6" xfId="0" applyFont="1" applyBorder="1" applyAlignment="1" applyProtection="1">
      <alignment horizontal="justify" vertical="center" wrapText="1"/>
      <protection locked="0"/>
    </xf>
    <xf numFmtId="0" fontId="10" fillId="0" borderId="0" xfId="0" applyFont="1" applyAlignment="1" applyProtection="1">
      <alignment horizontal="justify" vertical="center" wrapText="1"/>
      <protection locked="0"/>
    </xf>
    <xf numFmtId="0" fontId="10" fillId="0" borderId="7" xfId="0" applyFont="1" applyBorder="1" applyAlignment="1" applyProtection="1">
      <alignment horizontal="justify" vertical="center" wrapText="1"/>
      <protection locked="0"/>
    </xf>
    <xf numFmtId="0" fontId="10" fillId="0" borderId="8" xfId="0" applyFont="1" applyBorder="1" applyAlignment="1" applyProtection="1">
      <alignment horizontal="justify" vertical="center" wrapText="1"/>
      <protection locked="0"/>
    </xf>
    <xf numFmtId="0" fontId="10" fillId="0" borderId="9" xfId="0" applyFont="1" applyBorder="1" applyAlignment="1" applyProtection="1">
      <alignment horizontal="justify" vertical="center" wrapText="1"/>
      <protection locked="0"/>
    </xf>
    <xf numFmtId="0" fontId="10" fillId="0" borderId="10" xfId="0" applyFont="1" applyBorder="1" applyAlignment="1" applyProtection="1">
      <alignment horizontal="justify" vertical="center" wrapText="1"/>
      <protection locked="0"/>
    </xf>
    <xf numFmtId="0" fontId="5" fillId="0" borderId="19" xfId="0" applyFont="1" applyBorder="1" applyProtection="1">
      <protection locked="0"/>
    </xf>
    <xf numFmtId="0" fontId="5" fillId="0" borderId="20" xfId="0" applyFont="1" applyBorder="1" applyProtection="1">
      <protection locked="0"/>
    </xf>
    <xf numFmtId="0" fontId="5" fillId="0" borderId="26" xfId="0" applyFont="1" applyBorder="1" applyProtection="1">
      <protection locked="0"/>
    </xf>
    <xf numFmtId="0" fontId="0" fillId="0" borderId="2" xfId="0" applyBorder="1" applyProtection="1"/>
    <xf numFmtId="0" fontId="0" fillId="0" borderId="6" xfId="0" applyBorder="1" applyProtection="1"/>
    <xf numFmtId="49" fontId="0" fillId="0" borderId="6" xfId="0" applyNumberFormat="1" applyBorder="1" applyProtection="1"/>
    <xf numFmtId="49" fontId="8" fillId="0" borderId="8" xfId="0" applyNumberFormat="1" applyFont="1" applyBorder="1" applyProtection="1"/>
    <xf numFmtId="164" fontId="5" fillId="0" borderId="13" xfId="0" applyNumberFormat="1" applyFont="1" applyBorder="1" applyProtection="1"/>
    <xf numFmtId="164" fontId="5" fillId="0" borderId="14" xfId="0" applyNumberFormat="1" applyFont="1" applyBorder="1" applyProtection="1"/>
    <xf numFmtId="164" fontId="5" fillId="0" borderId="15" xfId="0" applyNumberFormat="1" applyFont="1" applyBorder="1" applyProtection="1"/>
    <xf numFmtId="164" fontId="5" fillId="0" borderId="16" xfId="0" applyNumberFormat="1" applyFont="1" applyBorder="1" applyProtection="1"/>
    <xf numFmtId="164" fontId="0" fillId="0" borderId="0" xfId="0" applyNumberFormat="1" applyProtection="1"/>
    <xf numFmtId="164" fontId="2" fillId="0" borderId="23" xfId="0" applyNumberFormat="1" applyFont="1" applyBorder="1" applyProtection="1"/>
  </cellXfs>
  <cellStyles count="3">
    <cellStyle name="Hyperlink" xfId="2" builtinId="8"/>
    <cellStyle name="Normal" xfId="0" builtinId="0"/>
    <cellStyle name="Percent" xfId="1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390525</xdr:colOff>
      <xdr:row>2</xdr:row>
      <xdr:rowOff>9524</xdr:rowOff>
    </xdr:from>
    <xdr:to>
      <xdr:col>8</xdr:col>
      <xdr:colOff>790574</xdr:colOff>
      <xdr:row>11</xdr:row>
      <xdr:rowOff>152398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8775F29-940D-4782-6BCD-90895A41F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1900" y="609599"/>
          <a:ext cx="1771649" cy="1771649"/>
        </a:xfrm>
        <a:prstGeom prst="rect">
          <a:avLst/>
        </a:prstGeom>
      </xdr:spPr>
    </xdr:pic>
    <xdr:clientData/>
  </xdr:twoCellAnchor>
  <xdr:twoCellAnchor>
    <xdr:from>
      <xdr:col>10</xdr:col>
      <xdr:colOff>38099</xdr:colOff>
      <xdr:row>9</xdr:row>
      <xdr:rowOff>82965</xdr:rowOff>
    </xdr:from>
    <xdr:to>
      <xdr:col>13</xdr:col>
      <xdr:colOff>369299</xdr:colOff>
      <xdr:row>12</xdr:row>
      <xdr:rowOff>80040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28B2C06B-8D20-3286-2E7B-D963175321D8}"/>
            </a:ext>
          </a:extLst>
        </xdr:cNvPr>
        <xdr:cNvGrpSpPr/>
      </xdr:nvGrpSpPr>
      <xdr:grpSpPr>
        <a:xfrm>
          <a:off x="6476999" y="1949865"/>
          <a:ext cx="2160000" cy="540000"/>
          <a:chOff x="6486524" y="2581274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Button 17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000-000011040000}"/>
                  </a:ext>
                </a:extLst>
              </xdr:cNvPr>
              <xdr:cNvSpPr/>
            </xdr:nvSpPr>
            <xdr:spPr bwMode="auto">
              <a:xfrm>
                <a:off x="6486524" y="2581274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Send invoices to customers</a:t>
                </a:r>
              </a:p>
            </xdr:txBody>
          </xdr:sp>
        </mc:Choice>
        <mc:Fallback/>
      </mc:AlternateContent>
      <xdr:pic>
        <xdr:nvPicPr>
          <xdr:cNvPr id="4" name="Graphic 3" descr="Email outline">
            <a:extLst>
              <a:ext uri="{FF2B5EF4-FFF2-40B4-BE49-F238E27FC236}">
                <a16:creationId xmlns:a16="http://schemas.microsoft.com/office/drawing/2014/main" id="{B3CA132E-2B51-20CD-8E17-CB5F6E5724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24825" y="2646487"/>
            <a:ext cx="409575" cy="409575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14</xdr:row>
      <xdr:rowOff>23055</xdr:rowOff>
    </xdr:from>
    <xdr:to>
      <xdr:col>13</xdr:col>
      <xdr:colOff>369299</xdr:colOff>
      <xdr:row>17</xdr:row>
      <xdr:rowOff>20130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3AD32515-4F88-4728-21CF-21886F9C23A9}"/>
            </a:ext>
          </a:extLst>
        </xdr:cNvPr>
        <xdr:cNvGrpSpPr/>
      </xdr:nvGrpSpPr>
      <xdr:grpSpPr>
        <a:xfrm>
          <a:off x="6476999" y="2794830"/>
          <a:ext cx="2160000" cy="540000"/>
          <a:chOff x="6486524" y="1843087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" name="Button 10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000-00000A040000}"/>
                  </a:ext>
                </a:extLst>
              </xdr:cNvPr>
              <xdr:cNvSpPr/>
            </xdr:nvSpPr>
            <xdr:spPr bwMode="auto">
              <a:xfrm>
                <a:off x="6486524" y="1843087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Create a new invoice</a:t>
                </a:r>
              </a:p>
            </xdr:txBody>
          </xdr:sp>
        </mc:Choice>
        <mc:Fallback/>
      </mc:AlternateContent>
      <xdr:pic>
        <xdr:nvPicPr>
          <xdr:cNvPr id="7" name="Graphic 6" descr="Paper outline">
            <a:extLst>
              <a:ext uri="{FF2B5EF4-FFF2-40B4-BE49-F238E27FC236}">
                <a16:creationId xmlns:a16="http://schemas.microsoft.com/office/drawing/2014/main" id="{5D75AC69-133C-BD80-7324-EA8BFEC54B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8105775" y="1888087"/>
            <a:ext cx="450000" cy="450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4</xdr:row>
      <xdr:rowOff>142875</xdr:rowOff>
    </xdr:from>
    <xdr:to>
      <xdr:col>13</xdr:col>
      <xdr:colOff>369299</xdr:colOff>
      <xdr:row>7</xdr:row>
      <xdr:rowOff>139950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993D0679-882B-73C3-1D22-DDF08A3B590E}"/>
            </a:ext>
          </a:extLst>
        </xdr:cNvPr>
        <xdr:cNvGrpSpPr/>
      </xdr:nvGrpSpPr>
      <xdr:grpSpPr>
        <a:xfrm>
          <a:off x="6476999" y="1104900"/>
          <a:ext cx="2160000" cy="540000"/>
          <a:chOff x="6486524" y="1104900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6486524" y="1104900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and export to PDF</a:t>
                </a:r>
              </a:p>
            </xdr:txBody>
          </xdr:sp>
        </mc:Choice>
        <mc:Fallback/>
      </mc:AlternateContent>
      <xdr:pic>
        <xdr:nvPicPr>
          <xdr:cNvPr id="10" name="Graphic 9" descr="Disk outline">
            <a:extLst>
              <a:ext uri="{FF2B5EF4-FFF2-40B4-BE49-F238E27FC236}">
                <a16:creationId xmlns:a16="http://schemas.microsoft.com/office/drawing/2014/main" id="{4E2921DF-7083-BDCD-2D59-303282DFED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8086725" y="1149900"/>
            <a:ext cx="450000" cy="450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18</xdr:row>
      <xdr:rowOff>144120</xdr:rowOff>
    </xdr:from>
    <xdr:to>
      <xdr:col>13</xdr:col>
      <xdr:colOff>369299</xdr:colOff>
      <xdr:row>21</xdr:row>
      <xdr:rowOff>149475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11A7B745-6462-17F8-5801-DEE594358BDE}"/>
            </a:ext>
          </a:extLst>
        </xdr:cNvPr>
        <xdr:cNvGrpSpPr/>
      </xdr:nvGrpSpPr>
      <xdr:grpSpPr>
        <a:xfrm>
          <a:off x="6476999" y="3639795"/>
          <a:ext cx="2160000" cy="548280"/>
          <a:chOff x="6476999" y="3639795"/>
          <a:chExt cx="2160000" cy="54828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Button 19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76999" y="3639795"/>
                <a:ext cx="2160000" cy="54828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Cancel an invoice</a:t>
                </a:r>
              </a:p>
            </xdr:txBody>
          </xdr:sp>
        </mc:Choice>
        <mc:Fallback/>
      </mc:AlternateContent>
      <xdr:pic>
        <xdr:nvPicPr>
          <xdr:cNvPr id="12" name="Graphic 11" descr="Shredder with solid fill">
            <a:extLst>
              <a:ext uri="{FF2B5EF4-FFF2-40B4-BE49-F238E27FC236}">
                <a16:creationId xmlns:a16="http://schemas.microsoft.com/office/drawing/2014/main" id="{89D8BDDB-3C06-9E6B-5741-354DD1CB77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8115300" y="3705225"/>
            <a:ext cx="410400" cy="4104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CB6435-E4AC-4540-862A-76766733C8A2}" name="Customer_list" displayName="Customer_list" ref="A1:G5" totalsRowShown="0">
  <autoFilter ref="A1:G5" xr:uid="{ECCB6435-E4AC-4540-862A-76766733C8A2}"/>
  <tableColumns count="7">
    <tableColumn id="1" xr3:uid="{98492E82-661D-4A5C-8A47-5EB24CBEC3E7}" name="Customer name"/>
    <tableColumn id="2" xr3:uid="{E4976C75-C350-44D4-BEB4-0EF8915E51AE}" name="Address 1"/>
    <tableColumn id="3" xr3:uid="{4829EA05-8D93-4E56-973D-D842A5708251}" name="Address 2"/>
    <tableColumn id="4" xr3:uid="{21D36E68-0488-46D7-9957-F54F28FC762A}" name="Address 3"/>
    <tableColumn id="5" xr3:uid="{1142FCAA-C742-4E89-908C-54F61A7F8D43}" name="Address 4"/>
    <tableColumn id="6" xr3:uid="{D709B32D-B109-4653-BF40-1EE6F90F4984}" name="Address 5"/>
    <tableColumn id="7" xr3:uid="{AA4A3AC3-A684-4A4C-9E5A-8EF4E105789D}" name="E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fo@pinkcheetah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FabyTech@example.com" TargetMode="External"/><Relationship Id="rId2" Type="http://schemas.openxmlformats.org/officeDocument/2006/relationships/hyperlink" Target="mailto:Rommold@example.com" TargetMode="External"/><Relationship Id="rId1" Type="http://schemas.openxmlformats.org/officeDocument/2006/relationships/hyperlink" Target="mailto:ABC@example.com" TargetMode="External"/><Relationship Id="rId5" Type="http://schemas.openxmlformats.org/officeDocument/2006/relationships/table" Target="../tables/table1.xml"/><Relationship Id="rId4" Type="http://schemas.openxmlformats.org/officeDocument/2006/relationships/hyperlink" Target="mailto:MoreMfg@example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7D12-EE19-4CA1-BD4C-494C5987E26B}">
  <sheetPr codeName="Sheet1"/>
  <dimension ref="A1:M46"/>
  <sheetViews>
    <sheetView showGridLines="0" tabSelected="1" zoomScaleNormal="100" workbookViewId="0">
      <selection activeCell="I15" sqref="I15"/>
    </sheetView>
  </sheetViews>
  <sheetFormatPr defaultRowHeight="14.45" customHeight="1" x14ac:dyDescent="0.25"/>
  <cols>
    <col min="1" max="1" width="3.7109375" style="2" customWidth="1"/>
    <col min="2" max="2" width="14.7109375" style="2" bestFit="1" customWidth="1"/>
    <col min="3" max="3" width="8.7109375" style="2" customWidth="1"/>
    <col min="4" max="4" width="9.140625" style="2"/>
    <col min="5" max="5" width="4.7109375" style="2" customWidth="1"/>
    <col min="6" max="6" width="10.140625" style="2" customWidth="1"/>
    <col min="7" max="8" width="10.28515625" style="2" customWidth="1"/>
    <col min="9" max="9" width="15.7109375" style="2" customWidth="1"/>
    <col min="10" max="16384" width="9.140625" style="2"/>
  </cols>
  <sheetData>
    <row r="1" spans="1:13" ht="33" customHeight="1" thickBot="1" x14ac:dyDescent="0.6">
      <c r="A1" s="37" t="s">
        <v>0</v>
      </c>
      <c r="B1" s="37"/>
      <c r="C1" s="37"/>
      <c r="D1" s="37"/>
      <c r="E1" s="37"/>
      <c r="F1" s="37"/>
      <c r="G1" s="3"/>
      <c r="H1" s="31" t="s">
        <v>1</v>
      </c>
      <c r="I1" s="31"/>
      <c r="J1" s="4"/>
      <c r="K1" s="5"/>
      <c r="L1" s="5"/>
      <c r="M1" s="5"/>
    </row>
    <row r="3" spans="1:13" ht="14.45" customHeight="1" x14ac:dyDescent="0.25">
      <c r="B3" s="6" t="s">
        <v>2</v>
      </c>
      <c r="C3" s="59">
        <v>1001</v>
      </c>
      <c r="D3" s="59"/>
    </row>
    <row r="4" spans="1:13" ht="14.45" customHeight="1" x14ac:dyDescent="0.25">
      <c r="B4" s="6" t="s">
        <v>14</v>
      </c>
      <c r="C4" s="35"/>
      <c r="D4" s="35"/>
    </row>
    <row r="5" spans="1:13" ht="14.45" customHeight="1" x14ac:dyDescent="0.25">
      <c r="B5" s="6" t="s">
        <v>15</v>
      </c>
      <c r="C5" s="36">
        <v>45947</v>
      </c>
      <c r="D5" s="35"/>
    </row>
    <row r="6" spans="1:13" ht="14.45" customHeight="1" x14ac:dyDescent="0.25">
      <c r="B6" s="6" t="s">
        <v>60</v>
      </c>
      <c r="C6" s="35">
        <v>14</v>
      </c>
      <c r="D6" s="35"/>
    </row>
    <row r="8" spans="1:13" ht="14.45" customHeight="1" x14ac:dyDescent="0.25">
      <c r="B8" s="2" t="s">
        <v>3</v>
      </c>
    </row>
    <row r="9" spans="1:13" ht="14.45" customHeight="1" x14ac:dyDescent="0.25">
      <c r="B9" s="7"/>
      <c r="C9" s="8"/>
      <c r="D9" s="9"/>
    </row>
    <row r="10" spans="1:13" ht="14.45" customHeight="1" x14ac:dyDescent="0.25">
      <c r="B10" s="60" t="str">
        <f>IF(B9&lt;&gt;"",VLOOKUP($B$9,Customer_list[],2,0),"")</f>
        <v/>
      </c>
      <c r="D10" s="11"/>
    </row>
    <row r="11" spans="1:13" ht="14.45" customHeight="1" x14ac:dyDescent="0.25">
      <c r="B11" s="60" t="str">
        <f>IF(B9&lt;&gt;"",VLOOKUP($B$9,Customer_list[],3,0),"")</f>
        <v/>
      </c>
      <c r="D11" s="11"/>
    </row>
    <row r="12" spans="1:13" ht="14.45" customHeight="1" x14ac:dyDescent="0.25">
      <c r="B12" s="60" t="str">
        <f>IF(B9&lt;&gt;"",VLOOKUP($B$9,Customer_list[],4,0),"")</f>
        <v/>
      </c>
      <c r="D12" s="11"/>
    </row>
    <row r="13" spans="1:13" ht="14.45" customHeight="1" x14ac:dyDescent="0.25">
      <c r="B13" s="60" t="str">
        <f>IF(B9&lt;&gt;"",VLOOKUP($B$9,Customer_list[],5,0),"")</f>
        <v/>
      </c>
      <c r="D13" s="11"/>
    </row>
    <row r="14" spans="1:13" ht="14.45" customHeight="1" x14ac:dyDescent="0.25">
      <c r="B14" s="61" t="str">
        <f>IF(B9&lt;&gt;"",VLOOKUP($B$9,Customer_list[],6,0),"")</f>
        <v/>
      </c>
      <c r="D14" s="11"/>
    </row>
    <row r="15" spans="1:13" ht="14.45" customHeight="1" x14ac:dyDescent="0.25">
      <c r="B15" s="62" t="str">
        <f>IF(B9&lt;&gt;"",VLOOKUP($B$9,Customer_list[],7,0),"")</f>
        <v/>
      </c>
      <c r="C15" s="12"/>
      <c r="D15" s="13"/>
    </row>
    <row r="17" spans="2:9" ht="14.45" customHeight="1" x14ac:dyDescent="0.25">
      <c r="B17" s="32" t="s">
        <v>4</v>
      </c>
      <c r="C17" s="33"/>
      <c r="D17" s="34"/>
      <c r="E17" s="14" t="s">
        <v>9</v>
      </c>
      <c r="F17" s="14" t="s">
        <v>5</v>
      </c>
      <c r="G17" s="14" t="s">
        <v>52</v>
      </c>
      <c r="H17" s="14" t="s">
        <v>6</v>
      </c>
      <c r="I17" s="15" t="s">
        <v>8</v>
      </c>
    </row>
    <row r="18" spans="2:9" ht="14.45" customHeight="1" x14ac:dyDescent="0.25">
      <c r="B18" s="28"/>
      <c r="C18" s="29"/>
      <c r="D18" s="30"/>
      <c r="E18" s="16"/>
      <c r="F18" s="17"/>
      <c r="G18" s="18"/>
      <c r="H18" s="63" t="str">
        <f>IF(E18&lt;&gt;"",E18*F18*G18,"")</f>
        <v/>
      </c>
      <c r="I18" s="64" t="str">
        <f>IF(E18&lt;&gt;"",E18*F18,"")</f>
        <v/>
      </c>
    </row>
    <row r="19" spans="2:9" ht="14.45" customHeight="1" x14ac:dyDescent="0.25">
      <c r="B19" s="28"/>
      <c r="C19" s="29"/>
      <c r="D19" s="30"/>
      <c r="E19" s="16"/>
      <c r="F19" s="17"/>
      <c r="G19" s="18"/>
      <c r="H19" s="63" t="str">
        <f t="shared" ref="H19:H34" si="0">IF(E19&lt;&gt;"",E19*F19*G19,"")</f>
        <v/>
      </c>
      <c r="I19" s="64" t="str">
        <f t="shared" ref="I19:I34" si="1">IF(E19&lt;&gt;"",E19*F19,"")</f>
        <v/>
      </c>
    </row>
    <row r="20" spans="2:9" ht="14.45" customHeight="1" x14ac:dyDescent="0.25">
      <c r="B20" s="28"/>
      <c r="C20" s="29"/>
      <c r="D20" s="30"/>
      <c r="E20" s="16"/>
      <c r="F20" s="17"/>
      <c r="G20" s="18"/>
      <c r="H20" s="63" t="str">
        <f t="shared" si="0"/>
        <v/>
      </c>
      <c r="I20" s="64" t="str">
        <f t="shared" si="1"/>
        <v/>
      </c>
    </row>
    <row r="21" spans="2:9" ht="14.45" customHeight="1" x14ac:dyDescent="0.25">
      <c r="B21" s="28"/>
      <c r="C21" s="29"/>
      <c r="D21" s="30"/>
      <c r="E21" s="16"/>
      <c r="F21" s="17"/>
      <c r="G21" s="18"/>
      <c r="H21" s="63" t="str">
        <f t="shared" si="0"/>
        <v/>
      </c>
      <c r="I21" s="64" t="str">
        <f t="shared" si="1"/>
        <v/>
      </c>
    </row>
    <row r="22" spans="2:9" ht="14.45" customHeight="1" x14ac:dyDescent="0.25">
      <c r="B22" s="28"/>
      <c r="C22" s="29"/>
      <c r="D22" s="30"/>
      <c r="E22" s="16"/>
      <c r="F22" s="17"/>
      <c r="G22" s="18"/>
      <c r="H22" s="63" t="str">
        <f t="shared" si="0"/>
        <v/>
      </c>
      <c r="I22" s="64" t="str">
        <f t="shared" si="1"/>
        <v/>
      </c>
    </row>
    <row r="23" spans="2:9" ht="14.45" customHeight="1" x14ac:dyDescent="0.25">
      <c r="B23" s="28"/>
      <c r="C23" s="29"/>
      <c r="D23" s="30"/>
      <c r="E23" s="16"/>
      <c r="F23" s="17"/>
      <c r="G23" s="18"/>
      <c r="H23" s="63" t="str">
        <f t="shared" si="0"/>
        <v/>
      </c>
      <c r="I23" s="64" t="str">
        <f t="shared" si="1"/>
        <v/>
      </c>
    </row>
    <row r="24" spans="2:9" ht="14.45" customHeight="1" x14ac:dyDescent="0.25">
      <c r="B24" s="28"/>
      <c r="C24" s="29"/>
      <c r="D24" s="30"/>
      <c r="E24" s="16"/>
      <c r="F24" s="17"/>
      <c r="G24" s="18"/>
      <c r="H24" s="63" t="str">
        <f t="shared" si="0"/>
        <v/>
      </c>
      <c r="I24" s="64" t="str">
        <f t="shared" si="1"/>
        <v/>
      </c>
    </row>
    <row r="25" spans="2:9" ht="14.45" customHeight="1" x14ac:dyDescent="0.25">
      <c r="B25" s="28"/>
      <c r="C25" s="29"/>
      <c r="D25" s="30"/>
      <c r="E25" s="16"/>
      <c r="F25" s="17"/>
      <c r="G25" s="18"/>
      <c r="H25" s="63" t="str">
        <f t="shared" si="0"/>
        <v/>
      </c>
      <c r="I25" s="64" t="str">
        <f t="shared" si="1"/>
        <v/>
      </c>
    </row>
    <row r="26" spans="2:9" ht="14.45" customHeight="1" x14ac:dyDescent="0.25">
      <c r="B26" s="28"/>
      <c r="C26" s="29"/>
      <c r="D26" s="30"/>
      <c r="E26" s="16"/>
      <c r="F26" s="17"/>
      <c r="G26" s="18"/>
      <c r="H26" s="63" t="str">
        <f t="shared" si="0"/>
        <v/>
      </c>
      <c r="I26" s="64" t="str">
        <f t="shared" si="1"/>
        <v/>
      </c>
    </row>
    <row r="27" spans="2:9" ht="14.45" customHeight="1" x14ac:dyDescent="0.25">
      <c r="B27" s="28"/>
      <c r="C27" s="29"/>
      <c r="D27" s="30"/>
      <c r="E27" s="16"/>
      <c r="F27" s="17"/>
      <c r="G27" s="18"/>
      <c r="H27" s="63" t="str">
        <f t="shared" si="0"/>
        <v/>
      </c>
      <c r="I27" s="64" t="str">
        <f t="shared" si="1"/>
        <v/>
      </c>
    </row>
    <row r="28" spans="2:9" ht="14.45" customHeight="1" x14ac:dyDescent="0.25">
      <c r="B28" s="28"/>
      <c r="C28" s="29"/>
      <c r="D28" s="30"/>
      <c r="E28" s="16"/>
      <c r="F28" s="17"/>
      <c r="G28" s="18"/>
      <c r="H28" s="63" t="str">
        <f t="shared" si="0"/>
        <v/>
      </c>
      <c r="I28" s="64" t="str">
        <f t="shared" si="1"/>
        <v/>
      </c>
    </row>
    <row r="29" spans="2:9" ht="14.45" customHeight="1" x14ac:dyDescent="0.25">
      <c r="B29" s="28"/>
      <c r="C29" s="29"/>
      <c r="D29" s="30"/>
      <c r="E29" s="16"/>
      <c r="F29" s="17"/>
      <c r="G29" s="18"/>
      <c r="H29" s="63" t="str">
        <f t="shared" si="0"/>
        <v/>
      </c>
      <c r="I29" s="64" t="str">
        <f t="shared" si="1"/>
        <v/>
      </c>
    </row>
    <row r="30" spans="2:9" ht="14.45" customHeight="1" x14ac:dyDescent="0.25">
      <c r="B30" s="28"/>
      <c r="C30" s="29"/>
      <c r="D30" s="30"/>
      <c r="E30" s="16"/>
      <c r="F30" s="17"/>
      <c r="G30" s="18"/>
      <c r="H30" s="63" t="str">
        <f t="shared" si="0"/>
        <v/>
      </c>
      <c r="I30" s="64" t="str">
        <f t="shared" si="1"/>
        <v/>
      </c>
    </row>
    <row r="31" spans="2:9" ht="14.45" customHeight="1" x14ac:dyDescent="0.25">
      <c r="B31" s="28"/>
      <c r="C31" s="29"/>
      <c r="D31" s="30"/>
      <c r="E31" s="16"/>
      <c r="F31" s="17"/>
      <c r="G31" s="18"/>
      <c r="H31" s="63" t="str">
        <f t="shared" si="0"/>
        <v/>
      </c>
      <c r="I31" s="64" t="str">
        <f t="shared" si="1"/>
        <v/>
      </c>
    </row>
    <row r="32" spans="2:9" ht="14.45" customHeight="1" x14ac:dyDescent="0.25">
      <c r="B32" s="28"/>
      <c r="C32" s="29"/>
      <c r="D32" s="30"/>
      <c r="E32" s="16"/>
      <c r="F32" s="17"/>
      <c r="G32" s="18"/>
      <c r="H32" s="63" t="str">
        <f t="shared" si="0"/>
        <v/>
      </c>
      <c r="I32" s="64" t="str">
        <f t="shared" si="1"/>
        <v/>
      </c>
    </row>
    <row r="33" spans="2:9" ht="14.45" customHeight="1" x14ac:dyDescent="0.25">
      <c r="B33" s="28"/>
      <c r="C33" s="29"/>
      <c r="D33" s="30"/>
      <c r="E33" s="16"/>
      <c r="F33" s="17"/>
      <c r="G33" s="18"/>
      <c r="H33" s="63" t="str">
        <f t="shared" si="0"/>
        <v/>
      </c>
      <c r="I33" s="64" t="str">
        <f t="shared" si="1"/>
        <v/>
      </c>
    </row>
    <row r="34" spans="2:9" ht="14.45" customHeight="1" x14ac:dyDescent="0.25">
      <c r="B34" s="56"/>
      <c r="C34" s="57"/>
      <c r="D34" s="58"/>
      <c r="E34" s="19"/>
      <c r="F34" s="20"/>
      <c r="G34" s="21"/>
      <c r="H34" s="65" t="str">
        <f t="shared" si="0"/>
        <v/>
      </c>
      <c r="I34" s="66" t="str">
        <f t="shared" si="1"/>
        <v/>
      </c>
    </row>
    <row r="36" spans="2:9" ht="14.45" customHeight="1" x14ac:dyDescent="0.25">
      <c r="B36" s="22" t="s">
        <v>13</v>
      </c>
      <c r="C36" s="22"/>
      <c r="D36" s="22"/>
      <c r="E36" s="22"/>
    </row>
    <row r="37" spans="2:9" ht="14.45" customHeight="1" x14ac:dyDescent="0.25">
      <c r="B37" s="47" t="s">
        <v>68</v>
      </c>
      <c r="C37" s="48"/>
      <c r="D37" s="48"/>
      <c r="E37" s="49"/>
      <c r="G37" s="23"/>
      <c r="H37" s="23"/>
      <c r="I37" s="23"/>
    </row>
    <row r="38" spans="2:9" ht="14.45" customHeight="1" x14ac:dyDescent="0.25">
      <c r="B38" s="50"/>
      <c r="C38" s="51"/>
      <c r="D38" s="51"/>
      <c r="E38" s="52"/>
      <c r="G38" s="2" t="s">
        <v>11</v>
      </c>
      <c r="I38" s="67">
        <f>SUM(I18:I34)</f>
        <v>0</v>
      </c>
    </row>
    <row r="39" spans="2:9" ht="14.45" customHeight="1" x14ac:dyDescent="0.25">
      <c r="B39" s="50"/>
      <c r="C39" s="51"/>
      <c r="D39" s="51"/>
      <c r="E39" s="52"/>
      <c r="G39" s="2" t="s">
        <v>6</v>
      </c>
      <c r="I39" s="67">
        <f>SUM(H18:H34)</f>
        <v>0</v>
      </c>
    </row>
    <row r="40" spans="2:9" ht="14.45" customHeight="1" thickBot="1" x14ac:dyDescent="0.3">
      <c r="B40" s="53"/>
      <c r="C40" s="54"/>
      <c r="D40" s="54"/>
      <c r="E40" s="55"/>
      <c r="G40" s="24" t="s">
        <v>7</v>
      </c>
      <c r="H40" s="24"/>
      <c r="I40" s="68">
        <f>SUM(I38:I39)</f>
        <v>0</v>
      </c>
    </row>
    <row r="41" spans="2:9" ht="14.45" customHeight="1" thickTop="1" x14ac:dyDescent="0.25"/>
    <row r="42" spans="2:9" ht="14.45" customHeight="1" x14ac:dyDescent="0.25">
      <c r="B42" s="46" t="s">
        <v>12</v>
      </c>
      <c r="C42" s="38"/>
      <c r="D42" s="38"/>
      <c r="E42" s="38"/>
      <c r="F42" s="38"/>
      <c r="G42" s="38" t="s">
        <v>10</v>
      </c>
      <c r="H42" s="38"/>
      <c r="I42" s="39"/>
    </row>
    <row r="43" spans="2:9" ht="14.45" customHeight="1" x14ac:dyDescent="0.25">
      <c r="B43" s="10" t="s">
        <v>16</v>
      </c>
      <c r="C43" s="40" t="s">
        <v>67</v>
      </c>
      <c r="D43" s="40"/>
      <c r="E43" s="40"/>
      <c r="F43" s="40"/>
      <c r="G43" s="2" t="s">
        <v>20</v>
      </c>
      <c r="H43" s="40">
        <v>596305918</v>
      </c>
      <c r="I43" s="44"/>
    </row>
    <row r="44" spans="2:9" ht="14.45" customHeight="1" x14ac:dyDescent="0.25">
      <c r="B44" s="10" t="s">
        <v>17</v>
      </c>
      <c r="C44" s="40" t="s">
        <v>66</v>
      </c>
      <c r="D44" s="40"/>
      <c r="E44" s="40"/>
      <c r="F44" s="40"/>
      <c r="G44" s="2" t="s">
        <v>21</v>
      </c>
      <c r="H44" s="40" t="s">
        <v>62</v>
      </c>
      <c r="I44" s="44"/>
    </row>
    <row r="45" spans="2:9" ht="14.45" customHeight="1" x14ac:dyDescent="0.25">
      <c r="B45" s="10" t="s">
        <v>18</v>
      </c>
      <c r="C45" s="41" t="s">
        <v>65</v>
      </c>
      <c r="D45" s="40"/>
      <c r="E45" s="40"/>
      <c r="F45" s="40"/>
      <c r="G45" s="2" t="s">
        <v>22</v>
      </c>
      <c r="H45" s="40" t="s">
        <v>63</v>
      </c>
      <c r="I45" s="44"/>
    </row>
    <row r="46" spans="2:9" ht="14.45" customHeight="1" x14ac:dyDescent="0.25">
      <c r="B46" s="25" t="s">
        <v>19</v>
      </c>
      <c r="C46" s="42" t="s">
        <v>61</v>
      </c>
      <c r="D46" s="43"/>
      <c r="E46" s="43"/>
      <c r="F46" s="43"/>
      <c r="G46" s="12" t="s">
        <v>23</v>
      </c>
      <c r="H46" s="43" t="s">
        <v>64</v>
      </c>
      <c r="I46" s="45"/>
    </row>
  </sheetData>
  <sheetProtection algorithmName="SHA-512" hashValue="FLS4XIaSOOutdhqDWtnfE71f9z8jwOUJhKifzLtVu8z7l38+iH8QasonRCFvN1+ZGmOtdNVrZnVxV4zmEJB9FA==" saltValue="ZVs/ALYmoFGqzD6sv72PUg==" spinCount="100000" sheet="1" objects="1" scenarios="1"/>
  <mergeCells count="35">
    <mergeCell ref="B22:D22"/>
    <mergeCell ref="B30:D30"/>
    <mergeCell ref="B31:D31"/>
    <mergeCell ref="B32:D32"/>
    <mergeCell ref="B42:F42"/>
    <mergeCell ref="B23:D23"/>
    <mergeCell ref="B24:D24"/>
    <mergeCell ref="B25:D25"/>
    <mergeCell ref="B26:D26"/>
    <mergeCell ref="B37:E40"/>
    <mergeCell ref="B27:D27"/>
    <mergeCell ref="B33:D33"/>
    <mergeCell ref="B34:D34"/>
    <mergeCell ref="B28:D28"/>
    <mergeCell ref="B29:D29"/>
    <mergeCell ref="G42:I42"/>
    <mergeCell ref="C43:F43"/>
    <mergeCell ref="C44:F44"/>
    <mergeCell ref="C45:F45"/>
    <mergeCell ref="C46:F46"/>
    <mergeCell ref="H43:I43"/>
    <mergeCell ref="H44:I44"/>
    <mergeCell ref="H45:I45"/>
    <mergeCell ref="H46:I46"/>
    <mergeCell ref="B21:D21"/>
    <mergeCell ref="H1:I1"/>
    <mergeCell ref="B17:D17"/>
    <mergeCell ref="B18:D18"/>
    <mergeCell ref="B19:D19"/>
    <mergeCell ref="B20:D20"/>
    <mergeCell ref="C3:D3"/>
    <mergeCell ref="C4:D4"/>
    <mergeCell ref="C5:D5"/>
    <mergeCell ref="C6:D6"/>
    <mergeCell ref="A1:F1"/>
  </mergeCells>
  <dataValidations count="2">
    <dataValidation type="list" allowBlank="1" showInputMessage="1" showErrorMessage="1" sqref="C6:D6" xr:uid="{44C3A990-C0B8-48D0-BE0E-4AE6EE07ED42}">
      <formula1>"14, 30, 45, 60, 90"</formula1>
    </dataValidation>
    <dataValidation type="list" allowBlank="1" showInputMessage="1" showErrorMessage="1" sqref="B9" xr:uid="{84A8C747-ADCD-4AEA-B183-0E2FFE0BE69D}">
      <formula1>Customer_dropdown</formula1>
    </dataValidation>
  </dataValidations>
  <hyperlinks>
    <hyperlink ref="C46" r:id="rId1" xr:uid="{A16DE15F-3716-4A91-A456-5D9D2C9A5FE3}"/>
  </hyperlinks>
  <pageMargins left="0.59055118110236227" right="0.39370078740157483" top="0.78740157480314965" bottom="0.78740157480314965" header="0.31496062992125984" footer="0.31496062992125984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5" name="Button 5">
              <controlPr defaultSize="0" autoFill="0" autoPict="0" macro="[0]!SaveAsPDF">
                <anchor moveWithCells="1" sizeWithCells="1">
                  <from>
                    <xdr:col>10</xdr:col>
                    <xdr:colOff>38100</xdr:colOff>
                    <xdr:row>4</xdr:row>
                    <xdr:rowOff>142875</xdr:rowOff>
                  </from>
                  <to>
                    <xdr:col>13</xdr:col>
                    <xdr:colOff>371475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autoFill="0" autoPict="0" macro="[0]!CreateNewInvoice">
                <anchor moveWithCells="1" sizeWithCells="1">
                  <from>
                    <xdr:col>10</xdr:col>
                    <xdr:colOff>38100</xdr:colOff>
                    <xdr:row>14</xdr:row>
                    <xdr:rowOff>19050</xdr:rowOff>
                  </from>
                  <to>
                    <xdr:col>13</xdr:col>
                    <xdr:colOff>371475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autoFill="0" autoPict="0" macro="[0]!SendEmail">
                <anchor moveWithCells="1" sizeWithCells="1">
                  <from>
                    <xdr:col>10</xdr:col>
                    <xdr:colOff>38100</xdr:colOff>
                    <xdr:row>9</xdr:row>
                    <xdr:rowOff>85725</xdr:rowOff>
                  </from>
                  <to>
                    <xdr:col>13</xdr:col>
                    <xdr:colOff>371475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autoFill="0" autoPict="0" macro="[0]!InvoiceCancelation">
                <anchor moveWithCells="1" sizeWithCells="1">
                  <from>
                    <xdr:col>10</xdr:col>
                    <xdr:colOff>38100</xdr:colOff>
                    <xdr:row>18</xdr:row>
                    <xdr:rowOff>142875</xdr:rowOff>
                  </from>
                  <to>
                    <xdr:col>13</xdr:col>
                    <xdr:colOff>371475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5A5EB-8050-4735-B649-3DFA41FDB9DB}">
  <sheetPr codeName="Sheet2"/>
  <dimension ref="A1:G5"/>
  <sheetViews>
    <sheetView workbookViewId="0">
      <selection activeCell="B12" sqref="B12"/>
    </sheetView>
  </sheetViews>
  <sheetFormatPr defaultRowHeight="15" x14ac:dyDescent="0.25"/>
  <cols>
    <col min="1" max="1" width="17.85546875" bestFit="1" customWidth="1"/>
    <col min="2" max="2" width="26" bestFit="1" customWidth="1"/>
    <col min="3" max="3" width="32.42578125" bestFit="1" customWidth="1"/>
    <col min="4" max="4" width="18.140625" bestFit="1" customWidth="1"/>
    <col min="5" max="6" width="12" bestFit="1" customWidth="1"/>
    <col min="7" max="7" width="23.5703125" bestFit="1" customWidth="1"/>
  </cols>
  <sheetData>
    <row r="1" spans="1:7" x14ac:dyDescent="0.25">
      <c r="A1" t="s">
        <v>29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19</v>
      </c>
    </row>
    <row r="2" spans="1:7" x14ac:dyDescent="0.25">
      <c r="A2" t="s">
        <v>30</v>
      </c>
      <c r="B2" t="s">
        <v>31</v>
      </c>
      <c r="C2" t="s">
        <v>32</v>
      </c>
      <c r="D2" t="s">
        <v>33</v>
      </c>
      <c r="E2" t="s">
        <v>33</v>
      </c>
      <c r="F2">
        <v>13509</v>
      </c>
      <c r="G2" s="1" t="s">
        <v>48</v>
      </c>
    </row>
    <row r="3" spans="1:7" x14ac:dyDescent="0.25">
      <c r="A3" t="s">
        <v>45</v>
      </c>
      <c r="B3" t="s">
        <v>34</v>
      </c>
      <c r="C3" t="s">
        <v>35</v>
      </c>
      <c r="D3" t="s">
        <v>33</v>
      </c>
      <c r="E3" t="s">
        <v>33</v>
      </c>
      <c r="F3">
        <v>10713</v>
      </c>
      <c r="G3" s="1" t="s">
        <v>49</v>
      </c>
    </row>
    <row r="4" spans="1:7" x14ac:dyDescent="0.25">
      <c r="A4" t="s">
        <v>46</v>
      </c>
      <c r="B4" t="s">
        <v>36</v>
      </c>
      <c r="C4" t="s">
        <v>37</v>
      </c>
      <c r="D4" t="s">
        <v>38</v>
      </c>
      <c r="E4" t="s">
        <v>39</v>
      </c>
      <c r="F4">
        <v>33000</v>
      </c>
      <c r="G4" s="1" t="s">
        <v>50</v>
      </c>
    </row>
    <row r="5" spans="1:7" x14ac:dyDescent="0.25">
      <c r="A5" t="s">
        <v>47</v>
      </c>
      <c r="B5" t="s">
        <v>40</v>
      </c>
      <c r="C5" t="s">
        <v>41</v>
      </c>
      <c r="D5" t="s">
        <v>42</v>
      </c>
      <c r="E5" t="s">
        <v>43</v>
      </c>
      <c r="F5" t="s">
        <v>44</v>
      </c>
      <c r="G5" s="1" t="s">
        <v>51</v>
      </c>
    </row>
  </sheetData>
  <hyperlinks>
    <hyperlink ref="G2" r:id="rId1" xr:uid="{7B65CB3F-9806-41EB-AF5A-B285BC6CCC28}"/>
    <hyperlink ref="G3" r:id="rId2" xr:uid="{82E3835E-3D07-45C5-8783-0770FDC6DB08}"/>
    <hyperlink ref="G4" r:id="rId3" xr:uid="{7AFED84B-C296-480D-836B-197C13063D8E}"/>
    <hyperlink ref="G5" r:id="rId4" xr:uid="{EE02D48C-AEB0-404A-A1A3-E2B4F53C3EAA}"/>
  </hyperlinks>
  <pageMargins left="0.7" right="0.7" top="0.75" bottom="0.75" header="0.3" footer="0.3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D5DD0-2E40-4A4A-8E19-F214D234E689}">
  <sheetPr codeName="Sheet3"/>
  <dimension ref="A1:I1"/>
  <sheetViews>
    <sheetView workbookViewId="0">
      <selection activeCell="E9" sqref="E9"/>
    </sheetView>
  </sheetViews>
  <sheetFormatPr defaultRowHeight="15" x14ac:dyDescent="0.25"/>
  <cols>
    <col min="1" max="1" width="15" bestFit="1" customWidth="1"/>
    <col min="2" max="2" width="9.28515625" bestFit="1" customWidth="1"/>
    <col min="3" max="3" width="9.5703125" style="27" bestFit="1" customWidth="1"/>
    <col min="4" max="4" width="10.140625" bestFit="1" customWidth="1"/>
    <col min="5" max="5" width="10.42578125" bestFit="1" customWidth="1"/>
    <col min="6" max="6" width="5" bestFit="1" customWidth="1"/>
    <col min="7" max="7" width="19.5703125" bestFit="1" customWidth="1"/>
    <col min="8" max="8" width="15" bestFit="1" customWidth="1"/>
    <col min="9" max="9" width="16.42578125" bestFit="1" customWidth="1"/>
    <col min="10" max="16384" width="9.140625" style="2"/>
  </cols>
  <sheetData>
    <row r="1" spans="1:9" x14ac:dyDescent="0.25">
      <c r="A1" s="26" t="s">
        <v>2</v>
      </c>
      <c r="B1" s="26" t="s">
        <v>53</v>
      </c>
      <c r="C1" s="26" t="s">
        <v>54</v>
      </c>
      <c r="D1" s="26" t="s">
        <v>55</v>
      </c>
      <c r="E1" s="26" t="s">
        <v>56</v>
      </c>
      <c r="F1" s="26" t="s">
        <v>57</v>
      </c>
      <c r="G1" s="26" t="s">
        <v>58</v>
      </c>
      <c r="H1" s="26" t="s">
        <v>59</v>
      </c>
      <c r="I1" s="26" t="s">
        <v>69</v>
      </c>
    </row>
  </sheetData>
  <conditionalFormatting sqref="A2:F1048576">
    <cfRule type="expression" dxfId="0" priority="1">
      <formula>AND($A2&lt;&gt;"",$E2&lt;TODAY(),$F2&lt;&gt;"Yes")</formula>
    </cfRule>
  </conditionalFormatting>
  <dataValidations count="1">
    <dataValidation type="list" allowBlank="1" showInputMessage="1" showErrorMessage="1" sqref="F2:F1048576" xr:uid="{5819CE4E-FF83-4401-BBFC-C19274C7F9C9}">
      <formula1>"Yes,No"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Invoice template</vt:lpstr>
      <vt:lpstr>Customers</vt:lpstr>
      <vt:lpstr>Record of Invoices</vt:lpstr>
      <vt:lpstr>Customer_dropdown</vt:lpstr>
      <vt:lpstr>'Invoice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Kacper Szkodziński</dc:creator>
  <cp:lastModifiedBy>Kacper Szkodzinski</cp:lastModifiedBy>
  <cp:lastPrinted>2025-10-16T18:22:12Z</cp:lastPrinted>
  <dcterms:created xsi:type="dcterms:W3CDTF">2025-10-10T07:57:22Z</dcterms:created>
  <dcterms:modified xsi:type="dcterms:W3CDTF">2025-10-17T15:33:43Z</dcterms:modified>
</cp:coreProperties>
</file>