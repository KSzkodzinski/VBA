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esktop\"/>
    </mc:Choice>
  </mc:AlternateContent>
  <xr:revisionPtr revIDLastSave="0" documentId="13_ncr:1_{F5D54C29-2CC1-4A63-AD76-9E4C85711204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C5" i="1"/>
  <c r="I39" i="1" l="1"/>
  <c r="I38" i="1"/>
  <c r="I40" i="1" l="1"/>
</calcChain>
</file>

<file path=xl/sharedStrings.xml><?xml version="1.0" encoding="utf-8"?>
<sst xmlns="http://schemas.openxmlformats.org/spreadsheetml/2006/main" count="78" uniqueCount="71">
  <si>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</si>
  <si>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</si>
  <si>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</si>
  <si>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</si>
  <si>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</si>
  <si>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</si>
  <si>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</si>
  <si>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</si>
  <si>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</si>
  <si>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</si>
  <si>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</si>
  <si>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</si>
  <si>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</si>
  <si>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</si>
  <si>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</si>
  <si>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</si>
  <si>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</si>
  <si>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</si>
  <si>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</si>
  <si>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</si>
  <si>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</si>
  <si>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</si>
  <si>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</si>
  <si>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</si>
  <si>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</si>
  <si>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</si>
  <si>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</si>
  <si>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</si>
  <si>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</si>
  <si>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</si>
  <si>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</si>
  <si>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</si>
  <si>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</si>
  <si>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</si>
  <si>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</si>
  <si>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</si>
  <si>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</si>
  <si>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</si>
  <si>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</si>
  <si>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</si>
  <si>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</si>
  <si>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</si>
  <si>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</si>
  <si>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</si>
  <si>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</si>
  <si>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</si>
  <si>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</si>
  <si>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</si>
  <si>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</si>
  <si>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</si>
  <si>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</si>
  <si>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</si>
  <si>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</si>
  <si>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</si>
  <si>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</si>
  <si>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</si>
  <si>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</si>
  <si>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</si>
  <si>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</si>
  <si>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</si>
  <si>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</si>
  <si>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</si>
  <si>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</si>
  <si>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</si>
  <si>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</si>
  <si>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</si>
  <si>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</si>
  <si>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</si>
  <si>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</si>
  <si>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Product1</t>
  </si>
  <si>
    <t>Product2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</si>
</sst>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0" fontId="0" fillId="2" borderId="0" xfId="0" applyFill="1"/>
    <xf numFmtId="49" fontId="8" fillId="0" borderId="8" xfId="0" applyNumberFormat="1" applyFont="1" applyBorder="1"/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7" fillId="0" borderId="9" xfId="2" applyBorder="1"/>
    <xf numFmtId="0" fontId="5" fillId="0" borderId="9" xfId="0" applyFont="1" applyBorder="1"/>
    <xf numFmtId="0" fontId="5" fillId="0" borderId="0" xfId="0" applyFont="1"/>
    <xf numFmtId="0" fontId="5" fillId="0" borderId="7" xfId="0" applyFont="1" applyBorder="1"/>
    <xf numFmtId="0" fontId="5" fillId="0" borderId="10" xfId="0" applyFont="1" applyBorder="1"/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0" xfId="0" quotePrefix="1" applyFont="1"/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116681</xdr:rowOff>
    </xdr:from>
    <xdr:to>
      <xdr:col>13</xdr:col>
      <xdr:colOff>369299</xdr:colOff>
      <xdr:row>12</xdr:row>
      <xdr:rowOff>113756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83581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90487</xdr:rowOff>
    </xdr:from>
    <xdr:to>
      <xdr:col>13</xdr:col>
      <xdr:colOff>369299</xdr:colOff>
      <xdr:row>17</xdr:row>
      <xdr:rowOff>87562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862262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J11" sqref="J11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62" t="s">
        <v>0</v>
      </c>
      <c r="B1" s="62"/>
      <c r="C1" s="62"/>
      <c r="D1" s="62"/>
      <c r="E1" s="62"/>
      <c r="F1" s="62"/>
      <c r="G1" s="3"/>
      <c r="H1" s="56" t="s">
        <v>1</v>
      </c>
      <c r="I1" s="56"/>
      <c r="J1" s="2"/>
      <c r="K1" s="1"/>
      <c r="L1" s="1"/>
      <c r="M1" s="1"/>
    </row>
    <row r="3" spans="1:13" ht="14.45" customHeight="1" x14ac:dyDescent="0.25">
      <c r="B3" s="28" t="s">
        <v>2</v>
      </c>
      <c r="C3" s="60">
        <v>1268</v>
      </c>
      <c r="D3" s="60"/>
    </row>
    <row r="4" spans="1:13" ht="14.45" customHeight="1" x14ac:dyDescent="0.25">
      <c r="B4" s="28" t="s">
        <v>14</v>
      </c>
      <c r="C4" s="60">
        <v>360000356</v>
      </c>
      <c r="D4" s="60"/>
    </row>
    <row r="5" spans="1:13" ht="14.45" customHeight="1" x14ac:dyDescent="0.25">
      <c r="B5" s="28" t="s">
        <v>15</v>
      </c>
      <c r="C5" s="61">
        <f ca="1">TODAY()</f>
        <v>45940</v>
      </c>
      <c r="D5" s="60"/>
    </row>
    <row r="6" spans="1:13" ht="14.45" customHeight="1" x14ac:dyDescent="0.25">
      <c r="B6" s="28" t="s">
        <v>60</v>
      </c>
      <c r="C6" s="60">
        <v>14</v>
      </c>
      <c r="D6" s="60"/>
    </row>
    <row r="8" spans="1:13" ht="14.45" customHeight="1" x14ac:dyDescent="0.25">
      <c r="B8" t="s">
        <v>3</v>
      </c>
    </row>
    <row r="9" spans="1:13" ht="14.45" customHeight="1" x14ac:dyDescent="0.25">
      <c r="B9" s="4" t="s">
        <v>45</v>
      </c>
      <c r="C9" s="5"/>
      <c r="D9" s="6"/>
    </row>
    <row r="10" spans="1:13" ht="14.45" customHeight="1" x14ac:dyDescent="0.25">
      <c r="B10" s="7" t="str">
        <f>IF(B9&lt;&gt;"",VLOOKUP($B$9,Customer_list[],2,0),"")</f>
        <v>Hohenzollerndamm 94</v>
      </c>
      <c r="D10" s="8"/>
    </row>
    <row r="11" spans="1:13" ht="14.45" customHeight="1" x14ac:dyDescent="0.25">
      <c r="B11" s="7" t="str">
        <f>IF(B9&lt;&gt;"",VLOOKUP($B$9,Customer_list[],3,0),"")</f>
        <v>Hohenzollerndamm S-Bahn Station</v>
      </c>
      <c r="D11" s="8"/>
    </row>
    <row r="12" spans="1:13" ht="14.45" customHeight="1" x14ac:dyDescent="0.25">
      <c r="B12" s="7" t="str">
        <f>IF(B9&lt;&gt;"",VLOOKUP($B$9,Customer_list[],4,0),"")</f>
        <v>Berlin</v>
      </c>
      <c r="D12" s="8"/>
    </row>
    <row r="13" spans="1:13" ht="14.45" customHeight="1" x14ac:dyDescent="0.25">
      <c r="B13" s="7" t="str">
        <f>IF(B9&lt;&gt;"",VLOOKUP($B$9,Customer_list[],5,0),"")</f>
        <v>Berlin</v>
      </c>
      <c r="D13" s="8"/>
    </row>
    <row r="14" spans="1:13" ht="14.45" customHeight="1" x14ac:dyDescent="0.25">
      <c r="B14" s="27">
        <f>IF(B9&lt;&gt;"",VLOOKUP($B$9,Customer_list[],6,0),"")</f>
        <v>10713</v>
      </c>
      <c r="D14" s="8"/>
    </row>
    <row r="15" spans="1:13" ht="14.45" customHeight="1" x14ac:dyDescent="0.25">
      <c r="B15" s="31" t="str">
        <f>IF(B9&lt;&gt;"",VLOOKUP($B$9,Customer_list[],7,0),"")</f>
        <v>Rommold@example.com</v>
      </c>
      <c r="C15" s="10"/>
      <c r="D15" s="11"/>
    </row>
    <row r="17" spans="2:9" ht="14.45" customHeight="1" x14ac:dyDescent="0.25">
      <c r="B17" s="57" t="s">
        <v>4</v>
      </c>
      <c r="C17" s="58"/>
      <c r="D17" s="59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32" t="s">
        <v>69</v>
      </c>
      <c r="C18" s="33"/>
      <c r="D18" s="34"/>
      <c r="E18" s="17">
        <v>10</v>
      </c>
      <c r="F18" s="19">
        <v>10</v>
      </c>
      <c r="G18" s="21">
        <v>0.23</v>
      </c>
      <c r="H18" s="19">
        <f>IF(E18&lt;&gt;"",E18*F18*G18,"")</f>
        <v>23</v>
      </c>
      <c r="I18" s="25">
        <f>IF(E18&lt;&gt;"",E18*F18,"")</f>
        <v>100</v>
      </c>
    </row>
    <row r="19" spans="2:9" ht="14.45" customHeight="1" x14ac:dyDescent="0.25">
      <c r="B19" s="32" t="s">
        <v>70</v>
      </c>
      <c r="C19" s="33"/>
      <c r="D19" s="34"/>
      <c r="E19" s="17">
        <v>12</v>
      </c>
      <c r="F19" s="19">
        <v>120</v>
      </c>
      <c r="G19" s="21">
        <v>0.23</v>
      </c>
      <c r="H19" s="19">
        <f t="shared" ref="H19:H34" si="0">IF(E19&lt;&gt;"",E19*F19*G19,"")</f>
        <v>331.2</v>
      </c>
      <c r="I19" s="25">
        <f t="shared" ref="I19:I34" si="1">IF(E19&lt;&gt;"",E19*F19,"")</f>
        <v>1440</v>
      </c>
    </row>
    <row r="20" spans="2:9" ht="14.45" customHeight="1" x14ac:dyDescent="0.25">
      <c r="B20" s="32"/>
      <c r="C20" s="33"/>
      <c r="D20" s="34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32"/>
      <c r="C21" s="33"/>
      <c r="D21" s="34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32"/>
      <c r="C22" s="33"/>
      <c r="D22" s="34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32"/>
      <c r="C23" s="33"/>
      <c r="D23" s="34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32"/>
      <c r="C24" s="33"/>
      <c r="D24" s="34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32"/>
      <c r="C25" s="33"/>
      <c r="D25" s="34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32"/>
      <c r="C26" s="33"/>
      <c r="D26" s="34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32"/>
      <c r="C27" s="33"/>
      <c r="D27" s="34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32"/>
      <c r="C28" s="33"/>
      <c r="D28" s="34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32"/>
      <c r="C29" s="33"/>
      <c r="D29" s="34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32"/>
      <c r="C30" s="33"/>
      <c r="D30" s="34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32"/>
      <c r="C31" s="33"/>
      <c r="D31" s="34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32"/>
      <c r="C32" s="33"/>
      <c r="D32" s="34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32"/>
      <c r="C33" s="33"/>
      <c r="D33" s="34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53"/>
      <c r="C34" s="54"/>
      <c r="D34" s="55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35" t="s">
        <v>68</v>
      </c>
      <c r="C37" s="36"/>
      <c r="D37" s="36"/>
      <c r="E37" s="37"/>
      <c r="G37" s="14"/>
      <c r="H37" s="14"/>
      <c r="I37" s="14"/>
    </row>
    <row r="38" spans="2:9" ht="14.45" customHeight="1" x14ac:dyDescent="0.25">
      <c r="B38" s="38"/>
      <c r="C38" s="39"/>
      <c r="D38" s="39"/>
      <c r="E38" s="40"/>
      <c r="G38" t="s">
        <v>11</v>
      </c>
      <c r="I38" s="23">
        <f>SUM(I18:I34)</f>
        <v>1540</v>
      </c>
    </row>
    <row r="39" spans="2:9" ht="14.45" customHeight="1" x14ac:dyDescent="0.25">
      <c r="B39" s="38"/>
      <c r="C39" s="39"/>
      <c r="D39" s="39"/>
      <c r="E39" s="40"/>
      <c r="G39" t="s">
        <v>6</v>
      </c>
      <c r="I39" s="23">
        <f>SUM(H18:H34)</f>
        <v>354.2</v>
      </c>
    </row>
    <row r="40" spans="2:9" ht="14.45" customHeight="1" thickBot="1" x14ac:dyDescent="0.3">
      <c r="B40" s="41"/>
      <c r="C40" s="42"/>
      <c r="D40" s="42"/>
      <c r="E40" s="43"/>
      <c r="G40" s="15" t="s">
        <v>7</v>
      </c>
      <c r="H40" s="15"/>
      <c r="I40" s="24">
        <f>SUM(I38:I39)</f>
        <v>1894.2</v>
      </c>
    </row>
    <row r="41" spans="2:9" ht="14.45" customHeight="1" thickTop="1" x14ac:dyDescent="0.25"/>
    <row r="42" spans="2:9" ht="14.45" customHeight="1" x14ac:dyDescent="0.25">
      <c r="B42" s="49" t="s">
        <v>12</v>
      </c>
      <c r="C42" s="50"/>
      <c r="D42" s="50"/>
      <c r="E42" s="50"/>
      <c r="F42" s="50"/>
      <c r="G42" s="50" t="s">
        <v>10</v>
      </c>
      <c r="H42" s="50"/>
      <c r="I42" s="51"/>
    </row>
    <row r="43" spans="2:9" ht="14.45" customHeight="1" x14ac:dyDescent="0.25">
      <c r="B43" s="7" t="s">
        <v>16</v>
      </c>
      <c r="C43" s="46" t="s">
        <v>67</v>
      </c>
      <c r="D43" s="46"/>
      <c r="E43" s="46"/>
      <c r="F43" s="46"/>
      <c r="G43" t="s">
        <v>20</v>
      </c>
      <c r="H43" s="46">
        <v>596305918</v>
      </c>
      <c r="I43" s="47"/>
    </row>
    <row r="44" spans="2:9" ht="14.45" customHeight="1" x14ac:dyDescent="0.25">
      <c r="B44" s="7" t="s">
        <v>17</v>
      </c>
      <c r="C44" s="46" t="s">
        <v>66</v>
      </c>
      <c r="D44" s="46"/>
      <c r="E44" s="46"/>
      <c r="F44" s="46"/>
      <c r="G44" t="s">
        <v>21</v>
      </c>
      <c r="H44" s="46" t="s">
        <v>62</v>
      </c>
      <c r="I44" s="47"/>
    </row>
    <row r="45" spans="2:9" ht="14.45" customHeight="1" x14ac:dyDescent="0.25">
      <c r="B45" s="7" t="s">
        <v>18</v>
      </c>
      <c r="C45" s="52" t="s">
        <v>65</v>
      </c>
      <c r="D45" s="46"/>
      <c r="E45" s="46"/>
      <c r="F45" s="46"/>
      <c r="G45" t="s">
        <v>22</v>
      </c>
      <c r="H45" s="46" t="s">
        <v>63</v>
      </c>
      <c r="I45" s="47"/>
    </row>
    <row r="46" spans="2:9" ht="14.45" customHeight="1" x14ac:dyDescent="0.25">
      <c r="B46" s="9" t="s">
        <v>19</v>
      </c>
      <c r="C46" s="44" t="s">
        <v>61</v>
      </c>
      <c r="D46" s="45"/>
      <c r="E46" s="45"/>
      <c r="F46" s="45"/>
      <c r="G46" s="10" t="s">
        <v>23</v>
      </c>
      <c r="H46" s="45" t="s">
        <v>64</v>
      </c>
      <c r="I46" s="48"/>
    </row>
  </sheetData>
  <mergeCells count="35">
    <mergeCell ref="B23:D23"/>
    <mergeCell ref="B24:D24"/>
    <mergeCell ref="B25:D25"/>
    <mergeCell ref="B26:D26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B21:D21"/>
    <mergeCell ref="C46:F46"/>
    <mergeCell ref="H43:I43"/>
    <mergeCell ref="H44:I44"/>
    <mergeCell ref="H45:I45"/>
    <mergeCell ref="H46:I46"/>
    <mergeCell ref="B42:F42"/>
    <mergeCell ref="G42:I42"/>
    <mergeCell ref="C43:F43"/>
    <mergeCell ref="C44:F44"/>
    <mergeCell ref="C45:F45"/>
    <mergeCell ref="B33:D33"/>
    <mergeCell ref="B34:D34"/>
    <mergeCell ref="B28:D28"/>
    <mergeCell ref="B29:D29"/>
    <mergeCell ref="B22:D22"/>
    <mergeCell ref="B30:D30"/>
    <mergeCell ref="B31:D31"/>
    <mergeCell ref="B32:D32"/>
    <mergeCell ref="B37:E40"/>
    <mergeCell ref="B27:D27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85725</xdr:rowOff>
                  </from>
                  <to>
                    <xdr:col>13</xdr:col>
                    <xdr:colOff>371475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114300</xdr:rowOff>
                  </from>
                  <to>
                    <xdr:col>13</xdr:col>
                    <xdr:colOff>371475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H1"/>
  <sheetViews>
    <sheetView workbookViewId="0">
      <selection activeCell="D9" sqref="D9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</cols>
  <sheetData>
    <row r="1" spans="1:8" x14ac:dyDescent="0.25">
      <c r="A1" s="30" t="s">
        <v>2</v>
      </c>
      <c r="B1" s="30" t="s">
        <v>53</v>
      </c>
      <c r="C1" s="30" t="s">
        <v>54</v>
      </c>
      <c r="D1" s="30" t="s">
        <v>55</v>
      </c>
      <c r="E1" s="30" t="s">
        <v>56</v>
      </c>
      <c r="F1" s="30" t="s">
        <v>57</v>
      </c>
      <c r="G1" s="30" t="s">
        <v>58</v>
      </c>
      <c r="H1" s="30" t="s">
        <v>59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2025-10-10T19:58:05Z</cp:lastPrinted>
  <dcterms:created xsi:type="dcterms:W3CDTF">2025-10-10T07:57:22Z</dcterms:created>
  <dcterms:modified xsi:type="dcterms:W3CDTF">2025-10-10T20:00:06Z</dcterms:modified>
</cp:coreProperties>
</file>